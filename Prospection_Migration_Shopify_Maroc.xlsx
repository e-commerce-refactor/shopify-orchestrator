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amp; Synthèse" sheetId="1" state="visible" r:id="rId1"/>
    <sheet xmlns:r="http://schemas.openxmlformats.org/officeDocument/2006/relationships" name="🎯 Base Prospects (35)" sheetId="2" state="visible" r:id="rId2"/>
    <sheet xmlns:r="http://schemas.openxmlformats.org/officeDocument/2006/relationships" name="💡 Scripts &amp; Argumentaire" sheetId="3" state="visible" r:id="rId3"/>
    <sheet xmlns:r="http://schemas.openxmlformats.org/officeDocument/2006/relationships" name="💰 Calculateur ROI Migration" sheetId="4" state="visible" r:id="rId4"/>
    <sheet xmlns:r="http://schemas.openxmlformats.org/officeDocument/2006/relationships" name="📋 Suivi Prospection CRM" sheetId="5" state="visible" r:id="rId5"/>
  </sheets>
  <definedNames/>
  <calcPr calcId="124519" fullCalcOnLoad="1"/>
</workbook>
</file>

<file path=xl/styles.xml><?xml version="1.0" encoding="utf-8"?>
<styleSheet xmlns="http://schemas.openxmlformats.org/spreadsheetml/2006/main">
  <numFmts count="3">
    <numFmt numFmtId="164" formatCode="#,##0 &quot;DH&quot;"/>
    <numFmt numFmtId="165" formatCode="0.0%"/>
    <numFmt numFmtId="166" formatCode="&quot;$&quot;#,##0"/>
  </numFmts>
  <fonts count="11">
    <font>
      <name val="Calibri"/>
      <family val="2"/>
      <color theme="1"/>
      <sz val="11"/>
      <scheme val="minor"/>
    </font>
    <font>
      <name val="Segoe UI"/>
      <b val="1"/>
      <color rgb="00FFFFFF"/>
      <sz val="16"/>
    </font>
    <font>
      <name val="Segoe UI"/>
      <i val="1"/>
      <color rgb="0094A3B8"/>
      <sz val="10"/>
    </font>
    <font>
      <name val="Segoe UI"/>
      <b val="1"/>
      <color rgb="0064748B"/>
      <sz val="9"/>
    </font>
    <font>
      <name val="Segoe UI"/>
      <b val="1"/>
      <color rgb="000F172A"/>
      <sz val="20"/>
    </font>
    <font>
      <name val="Segoe UI"/>
      <i val="1"/>
      <color rgb="0064748B"/>
      <sz val="8"/>
    </font>
    <font>
      <name val="Segoe UI"/>
      <b val="1"/>
      <color rgb="000F172A"/>
      <sz val="12"/>
    </font>
    <font>
      <name val="Segoe UI"/>
      <b val="1"/>
      <color rgb="00FFFFFF"/>
      <sz val="10"/>
    </font>
    <font>
      <name val="Segoe UI"/>
      <b val="1"/>
      <color rgb="001E293B"/>
      <sz val="9"/>
    </font>
    <font>
      <name val="Segoe UI"/>
      <color rgb="001E293B"/>
      <sz val="9"/>
    </font>
    <font>
      <name val="Segoe UI"/>
      <color rgb="002563EB"/>
      <sz val="9"/>
      <u val="single"/>
    </font>
  </fonts>
  <fills count="11">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1E293B"/>
        <bgColor rgb="001E293B"/>
      </patternFill>
    </fill>
    <fill>
      <patternFill patternType="solid">
        <fgColor rgb="00FEE2E2"/>
        <bgColor rgb="00FEE2E2"/>
      </patternFill>
    </fill>
    <fill>
      <patternFill patternType="solid">
        <fgColor rgb="00FFEDD5"/>
        <bgColor rgb="00FFEDD5"/>
      </patternFill>
    </fill>
    <fill>
      <patternFill patternType="solid">
        <fgColor rgb="00E0F2FE"/>
        <bgColor rgb="00E0F2FE"/>
      </patternFill>
    </fill>
    <fill>
      <patternFill patternType="solid">
        <fgColor rgb="00FFFFFF"/>
        <bgColor rgb="00FFFFFF"/>
      </patternFill>
    </fill>
    <fill>
      <patternFill patternType="solid">
        <fgColor rgb="00D1FAE5"/>
        <bgColor rgb="00D1FAE5"/>
      </patternFill>
    </fill>
    <fill>
      <patternFill patternType="solid">
        <fgColor rgb="00F1F5F9"/>
        <bgColor rgb="00F1F5F9"/>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E293B"/>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1" applyAlignment="1" pivotButton="0" quotePrefix="0" xfId="0">
      <alignment horizontal="center" vertical="center" wrapText="1"/>
    </xf>
    <xf numFmtId="0" fontId="0" fillId="0" borderId="1" pivotButton="0" quotePrefix="0" xfId="0"/>
    <xf numFmtId="0" fontId="4" fillId="3" borderId="1" applyAlignment="1" pivotButton="0" quotePrefix="0" xfId="0">
      <alignment horizontal="center" vertical="center" wrapText="1"/>
    </xf>
    <xf numFmtId="164"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wrapText="1"/>
    </xf>
    <xf numFmtId="0" fontId="8" fillId="3" borderId="1" pivotButton="0" quotePrefix="0" xfId="0"/>
    <xf numFmtId="0" fontId="9" fillId="3" borderId="1" applyAlignment="1" pivotButton="0" quotePrefix="0" xfId="0">
      <alignment horizontal="center" vertical="center" wrapText="1"/>
    </xf>
    <xf numFmtId="165" fontId="9" fillId="3" borderId="1" applyAlignment="1" pivotButton="0" quotePrefix="0" xfId="0">
      <alignment horizontal="center" vertical="center" wrapText="1"/>
    </xf>
    <xf numFmtId="0" fontId="9" fillId="3" borderId="1" applyAlignment="1" pivotButton="0" quotePrefix="0" xfId="0">
      <alignment horizontal="left" vertical="center" wrapText="1"/>
    </xf>
    <xf numFmtId="0" fontId="0" fillId="3" borderId="1" pivotButton="0" quotePrefix="0" xfId="0"/>
    <xf numFmtId="0" fontId="8" fillId="5" borderId="1" pivotButton="0" quotePrefix="0" xfId="0"/>
    <xf numFmtId="0" fontId="8" fillId="5" borderId="1" applyAlignment="1" pivotButton="0" quotePrefix="0" xfId="0">
      <alignment horizontal="center" vertical="center" wrapText="1"/>
    </xf>
    <xf numFmtId="0" fontId="8" fillId="0" borderId="1" pivotButton="0" quotePrefix="0" xfId="0"/>
    <xf numFmtId="0" fontId="9" fillId="0" borderId="1" applyAlignment="1" pivotButton="0" quotePrefix="0" xfId="0">
      <alignment horizontal="center" vertical="center" wrapText="1"/>
    </xf>
    <xf numFmtId="165" fontId="9"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8" fillId="6" borderId="1" pivotButton="0" quotePrefix="0" xfId="0"/>
    <xf numFmtId="0" fontId="8"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8" fillId="3" borderId="1" applyAlignment="1" pivotButton="0" quotePrefix="0" xfId="0">
      <alignment horizontal="left" vertical="center" wrapText="1"/>
    </xf>
    <xf numFmtId="0" fontId="9" fillId="8" borderId="1" applyAlignment="1" pivotButton="0" quotePrefix="0" xfId="0">
      <alignment horizontal="left" vertical="center" wrapText="1"/>
    </xf>
    <xf numFmtId="0" fontId="8" fillId="0" borderId="1" applyAlignment="1" pivotButton="0" quotePrefix="0" xfId="0">
      <alignment horizontal="center" vertical="center" wrapText="1"/>
    </xf>
    <xf numFmtId="0" fontId="9" fillId="0" borderId="1" pivotButton="0" quotePrefix="0" xfId="0"/>
    <xf numFmtId="0" fontId="10" fillId="0" borderId="1" pivotButton="0" quotePrefix="0" xfId="0"/>
    <xf numFmtId="0" fontId="10" fillId="0" borderId="1" applyAlignment="1" pivotButton="0" quotePrefix="0" xfId="0">
      <alignment horizontal="center" vertical="center" wrapText="1"/>
    </xf>
    <xf numFmtId="166" fontId="9" fillId="0" borderId="1" applyAlignment="1" pivotButton="0" quotePrefix="0" xfId="0">
      <alignment horizontal="right" vertical="center"/>
    </xf>
    <xf numFmtId="164" fontId="8" fillId="0" borderId="1" applyAlignment="1" pivotButton="0" quotePrefix="0" xfId="0">
      <alignment horizontal="right" vertical="center"/>
    </xf>
    <xf numFmtId="0" fontId="8" fillId="9"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1" pivotButton="0" quotePrefix="0" xfId="0"/>
    <xf numFmtId="0" fontId="10" fillId="3" borderId="1" pivotButton="0" quotePrefix="0" xfId="0"/>
    <xf numFmtId="0" fontId="10" fillId="3" borderId="1" applyAlignment="1" pivotButton="0" quotePrefix="0" xfId="0">
      <alignment horizontal="center" vertical="center" wrapText="1"/>
    </xf>
    <xf numFmtId="166" fontId="9" fillId="3" borderId="1" applyAlignment="1" pivotButton="0" quotePrefix="0" xfId="0">
      <alignment horizontal="right" vertical="center"/>
    </xf>
    <xf numFmtId="164" fontId="8" fillId="3" borderId="1" applyAlignment="1" pivotButton="0" quotePrefix="0" xfId="0">
      <alignment horizontal="right" vertical="center"/>
    </xf>
    <xf numFmtId="0" fontId="8" fillId="10" borderId="1" applyAlignment="1" pivotButton="0" quotePrefix="0" xfId="0">
      <alignment horizontal="center" vertical="center" wrapText="1"/>
    </xf>
    <xf numFmtId="0" fontId="7" fillId="4" borderId="2" applyAlignment="1" pivotButton="0" quotePrefix="0" xfId="0">
      <alignment horizontal="right" vertical="center"/>
    </xf>
    <xf numFmtId="0" fontId="0" fillId="0" borderId="2" pivotButton="0" quotePrefix="0" xfId="0"/>
    <xf numFmtId="166" fontId="7" fillId="4" borderId="2" applyAlignment="1" pivotButton="0" quotePrefix="0" xfId="0">
      <alignment horizontal="right" vertical="center"/>
    </xf>
    <xf numFmtId="164" fontId="7" fillId="4" borderId="2" applyAlignment="1" pivotButton="0" quotePrefix="0" xfId="0">
      <alignment horizontal="right" vertical="center"/>
    </xf>
    <xf numFmtId="0" fontId="6" fillId="3" borderId="1" pivotButton="0" quotePrefix="0" xfId="0"/>
    <xf numFmtId="0" fontId="2" fillId="0" borderId="1" pivotButton="0" quotePrefix="0" xfId="0"/>
    <xf numFmtId="0" fontId="9" fillId="0" borderId="1" applyAlignment="1" pivotButton="0" quotePrefix="0" xfId="0">
      <alignment horizontal="left" vertical="top" wrapText="1"/>
    </xf>
    <xf numFmtId="0" fontId="7" fillId="4" borderId="0" pivotButton="0" quotePrefix="0" xfId="0"/>
    <xf numFmtId="0" fontId="8" fillId="0" borderId="1" applyAlignment="1" pivotButton="0" quotePrefix="0" xfId="0">
      <alignment horizontal="right" vertical="center"/>
    </xf>
    <xf numFmtId="166" fontId="8" fillId="0" borderId="1" applyAlignment="1" pivotButton="0" quotePrefix="0" xfId="0">
      <alignment horizontal="right" vertical="center"/>
    </xf>
    <xf numFmtId="165" fontId="8" fillId="0" borderId="1" applyAlignment="1" pivotButton="0" quotePrefix="0" xfId="0">
      <alignment horizontal="right" vertical="center"/>
    </xf>
    <xf numFmtId="164" fontId="9" fillId="0" borderId="1" applyAlignment="1" pivotButton="0" quotePrefix="0" xfId="0">
      <alignment horizontal="right" vertical="center"/>
    </xf>
    <xf numFmtId="0" fontId="7" fillId="2" borderId="2" pivotButton="0" quotePrefix="0" xfId="0"/>
    <xf numFmtId="0" fontId="2" fillId="2" borderId="2" pivotButton="0" quotePrefix="0" xfId="0"/>
    <xf numFmtId="164" fontId="7" fillId="5" borderId="2" applyAlignment="1" pivotButton="0" quotePrefix="0" xfId="0">
      <alignment horizontal="right" vertical="center"/>
    </xf>
    <xf numFmtId="164" fontId="7" fillId="6" borderId="2" applyAlignment="1" pivotButton="0" quotePrefix="0" xfId="0">
      <alignment horizontal="right" vertical="center"/>
    </xf>
    <xf numFmtId="0" fontId="6" fillId="0" borderId="1" applyAlignment="1" pivotButton="0" quotePrefix="0" xfId="0">
      <alignment horizontal="left" vertical="center" wrapText="1"/>
    </xf>
    <xf numFmtId="164" fontId="4" fillId="9"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nulus.ma" TargetMode="External" Id="rId1"/><Relationship Type="http://schemas.openxmlformats.org/officeDocument/2006/relationships/hyperlink" Target="https://wa.me/212639156883?text=Salam%20Anulus%20Joaillerie%2C%20je%20vous%20contacte%20concernant%20votre%20site%20web" TargetMode="External" Id="rId2"/><Relationship Type="http://schemas.openxmlformats.org/officeDocument/2006/relationships/hyperlink" Target="https://instagram.com/anulus.ma" TargetMode="External" Id="rId3"/><Relationship Type="http://schemas.openxmlformats.org/officeDocument/2006/relationships/hyperlink" Target="https://mamontre.ma" TargetMode="External" Id="rId4"/><Relationship Type="http://schemas.openxmlformats.org/officeDocument/2006/relationships/hyperlink" Target="https://wa.me/212645222009?text=Salam%20Ma%20Montre%20Maroc%2C%20je%20vous%20contacte%20concernant%20votre%20site%20web" TargetMode="External" Id="rId5"/><Relationship Type="http://schemas.openxmlformats.org/officeDocument/2006/relationships/hyperlink" Target="https://instagram.com/mamontre.ma" TargetMode="External" Id="rId6"/><Relationship Type="http://schemas.openxmlformats.org/officeDocument/2006/relationships/hyperlink" Target="https://dynasty.ma" TargetMode="External" Id="rId7"/><Relationship Type="http://schemas.openxmlformats.org/officeDocument/2006/relationships/hyperlink" Target="https://wa.me/212763778049?text=Salam%20Dynasty%20Maroc%2C%20je%20vous%20contacte%20concernant%20votre%20site%20web" TargetMode="External" Id="rId8"/><Relationship Type="http://schemas.openxmlformats.org/officeDocument/2006/relationships/hyperlink" Target="https://instagram.com/dynasty.maroc" TargetMode="External" Id="rId9"/><Relationship Type="http://schemas.openxmlformats.org/officeDocument/2006/relationships/hyperlink" Target="https://flexshoes.ma" TargetMode="External" Id="rId10"/><Relationship Type="http://schemas.openxmlformats.org/officeDocument/2006/relationships/hyperlink" Target="https://wa.me/212670598844?text=Salam%20Flex%20Shoes%2C%20je%20vous%20contacte%20concernant%20votre%20site%20web" TargetMode="External" Id="rId11"/><Relationship Type="http://schemas.openxmlformats.org/officeDocument/2006/relationships/hyperlink" Target="https://instagram.com/flexshoes.ma" TargetMode="External" Id="rId12"/><Relationship Type="http://schemas.openxmlformats.org/officeDocument/2006/relationships/hyperlink" Target="https://sacoluxe.com" TargetMode="External" Id="rId13"/><Relationship Type="http://schemas.openxmlformats.org/officeDocument/2006/relationships/hyperlink" Target="https://wa.me/212645222009?text=Salam%20Sacoluxe%2C%20je%20vous%20contacte%20concernant%20votre%20site%20web" TargetMode="External" Id="rId14"/><Relationship Type="http://schemas.openxmlformats.org/officeDocument/2006/relationships/hyperlink" Target="https://instagram.com/sacoluxe_maroc" TargetMode="External" Id="rId15"/><Relationship Type="http://schemas.openxmlformats.org/officeDocument/2006/relationships/hyperlink" Target="https://maisondemode.ma" TargetMode="External" Id="rId16"/><Relationship Type="http://schemas.openxmlformats.org/officeDocument/2006/relationships/hyperlink" Target="https://wa.me/212700918791?text=Salam%20Maison%20de%20Mode%2C%20je%20vous%20contacte%20concernant%20votre%20site%20web" TargetMode="External" Id="rId17"/><Relationship Type="http://schemas.openxmlformats.org/officeDocument/2006/relationships/hyperlink" Target="https://instagram.com/maisondemode.ma" TargetMode="External" Id="rId18"/><Relationship Type="http://schemas.openxmlformats.org/officeDocument/2006/relationships/hyperlink" Target="https://aureaaccessories.ma" TargetMode="External" Id="rId19"/><Relationship Type="http://schemas.openxmlformats.org/officeDocument/2006/relationships/hyperlink" Target="https://wa.me/212684902511?text=Salam%20Aurea%20Accessories%2C%20je%20vous%20contacte%20concernant%20votre%20site%20web" TargetMode="External" Id="rId20"/><Relationship Type="http://schemas.openxmlformats.org/officeDocument/2006/relationships/hyperlink" Target="https://instagram.com/aureaaccessories.ma" TargetMode="External" Id="rId21"/><Relationship Type="http://schemas.openxmlformats.org/officeDocument/2006/relationships/hyperlink" Target="https://vibabijoux.ma" TargetMode="External" Id="rId22"/><Relationship Type="http://schemas.openxmlformats.org/officeDocument/2006/relationships/hyperlink" Target="https://wa.me/212645222009?text=Salam%20Viba%20Bijoux%2C%20je%20vous%20contacte%20concernant%20votre%20site%20web" TargetMode="External" Id="rId23"/><Relationship Type="http://schemas.openxmlformats.org/officeDocument/2006/relationships/hyperlink" Target="https://instagram.com/vibabijoux" TargetMode="External" Id="rId24"/><Relationship Type="http://schemas.openxmlformats.org/officeDocument/2006/relationships/hyperlink" Target="https://bleather.ma" TargetMode="External" Id="rId25"/><Relationship Type="http://schemas.openxmlformats.org/officeDocument/2006/relationships/hyperlink" Target="https://wa.me/212603695177?text=Salam%20Bleather%20Maroc%2C%20je%20vous%20contacte%20concernant%20votre%20site%20web" TargetMode="External" Id="rId26"/><Relationship Type="http://schemas.openxmlformats.org/officeDocument/2006/relationships/hyperlink" Target="https://instagram.com/bleather.morocco" TargetMode="External" Id="rId27"/><Relationship Type="http://schemas.openxmlformats.org/officeDocument/2006/relationships/hyperlink" Target="https://feskin.ma" TargetMode="External" Id="rId28"/><Relationship Type="http://schemas.openxmlformats.org/officeDocument/2006/relationships/hyperlink" Target="https://wa.me/212661789012?text=Salam%20Feskin%20Cuir%2C%20je%20vous%20contacte%20concernant%20votre%20site%20web" TargetMode="External" Id="rId29"/><Relationship Type="http://schemas.openxmlformats.org/officeDocument/2006/relationships/hyperlink" Target="https://instagram.com/feskin.ma" TargetMode="External" Id="rId30"/><Relationship Type="http://schemas.openxmlformats.org/officeDocument/2006/relationships/hyperlink" Target="https://clakovsbrustel.ma" TargetMode="External" Id="rId31"/><Relationship Type="http://schemas.openxmlformats.org/officeDocument/2006/relationships/hyperlink" Target="https://wa.me/212666329119?text=Salam%20Clakovs%20Brustel%2C%20je%20vous%20contacte%20concernant%20votre%20site%20web" TargetMode="External" Id="rId32"/><Relationship Type="http://schemas.openxmlformats.org/officeDocument/2006/relationships/hyperlink" Target="https://instagram.com/clakovsbrustel" TargetMode="External" Id="rId33"/><Relationship Type="http://schemas.openxmlformats.org/officeDocument/2006/relationships/hyperlink" Target="https://makushop.ma" TargetMode="External" Id="rId34"/><Relationship Type="http://schemas.openxmlformats.org/officeDocument/2006/relationships/hyperlink" Target="https://wa.me/212697838805?text=Salam%20Makushop%2C%20je%20vous%20contacte%20concernant%20votre%20site%20web" TargetMode="External" Id="rId35"/><Relationship Type="http://schemas.openxmlformats.org/officeDocument/2006/relationships/hyperlink" Target="https://instagram.com/makushoop" TargetMode="External" Id="rId36"/><Relationship Type="http://schemas.openxmlformats.org/officeDocument/2006/relationships/hyperlink" Target="https://70mai.ma" TargetMode="External" Id="rId37"/><Relationship Type="http://schemas.openxmlformats.org/officeDocument/2006/relationships/hyperlink" Target="https://wa.me/212671450367?text=Salam%2070mai%20Maroc%2C%20je%20vous%20contacte%20concernant%20votre%20site%20web" TargetMode="External" Id="rId38"/><Relationship Type="http://schemas.openxmlformats.org/officeDocument/2006/relationships/hyperlink" Target="https://instagram.com/70mai.maroc" TargetMode="External" Id="rId39"/><Relationship Type="http://schemas.openxmlformats.org/officeDocument/2006/relationships/hyperlink" Target="https://skyeveil.com" TargetMode="External" Id="rId40"/><Relationship Type="http://schemas.openxmlformats.org/officeDocument/2006/relationships/hyperlink" Target="https://wa.me/212612345678?text=Salam%20Skyeveil%2C%20je%20vous%20contacte%20concernant%20votre%20site%20web" TargetMode="External" Id="rId41"/><Relationship Type="http://schemas.openxmlformats.org/officeDocument/2006/relationships/hyperlink" Target="https://instagram.com/skyeveil" TargetMode="External" Id="rId42"/><Relationship Type="http://schemas.openxmlformats.org/officeDocument/2006/relationships/hyperlink" Target="https://minisouq.ma" TargetMode="External" Id="rId43"/><Relationship Type="http://schemas.openxmlformats.org/officeDocument/2006/relationships/hyperlink" Target="https://wa.me/212655443322?text=Salam%20Minisouq%20Maroc%2C%20je%20vous%20contacte%20concernant%20votre%20site%20web" TargetMode="External" Id="rId44"/><Relationship Type="http://schemas.openxmlformats.org/officeDocument/2006/relationships/hyperlink" Target="https://instagram.com/minisouq.ma" TargetMode="External" Id="rId45"/><Relationship Type="http://schemas.openxmlformats.org/officeDocument/2006/relationships/hyperlink" Target="https://diabetesolutions.ma" TargetMode="External" Id="rId46"/><Relationship Type="http://schemas.openxmlformats.org/officeDocument/2006/relationships/hyperlink" Target="https://wa.me/212767604958?text=Salam%20Diab&#232;te%20Solutions%2C%20je%20vous%20contacte%20concernant%20votre%20site%20web" TargetMode="External" Id="rId47"/><Relationship Type="http://schemas.openxmlformats.org/officeDocument/2006/relationships/hyperlink" Target="https://instagram.com/diabetesolutions.ma" TargetMode="External" Id="rId48"/><Relationship Type="http://schemas.openxmlformats.org/officeDocument/2006/relationships/hyperlink" Target="https://beautymarket.ma" TargetMode="External" Id="rId49"/><Relationship Type="http://schemas.openxmlformats.org/officeDocument/2006/relationships/hyperlink" Target="https://wa.me/212699505520?text=Salam%20Beauty%20Market%2C%20je%20vous%20contacte%20concernant%20votre%20site%20web" TargetMode="External" Id="rId50"/><Relationship Type="http://schemas.openxmlformats.org/officeDocument/2006/relationships/hyperlink" Target="https://instagram.com/beautymarket_ma" TargetMode="External" Id="rId51"/><Relationship Type="http://schemas.openxmlformats.org/officeDocument/2006/relationships/hyperlink" Target="https://fenna.ma" TargetMode="External" Id="rId52"/><Relationship Type="http://schemas.openxmlformats.org/officeDocument/2006/relationships/hyperlink" Target="https://wa.me/212678901234?text=Salam%20Fenna%20Maroc%2C%20je%20vous%20contacte%20concernant%20votre%20site%20web" TargetMode="External" Id="rId53"/><Relationship Type="http://schemas.openxmlformats.org/officeDocument/2006/relationships/hyperlink" Target="https://instagram.com/fenna.ma" TargetMode="External" Id="rId54"/><Relationship Type="http://schemas.openxmlformats.org/officeDocument/2006/relationships/hyperlink" Target="https://lamoura.ma" TargetMode="External" Id="rId55"/><Relationship Type="http://schemas.openxmlformats.org/officeDocument/2006/relationships/hyperlink" Target="https://wa.me/212645678901?text=Salam%20Lamoura%20Bijoux%2C%20je%20vous%20contacte%20concernant%20votre%20site%20web" TargetMode="External" Id="rId56"/><Relationship Type="http://schemas.openxmlformats.org/officeDocument/2006/relationships/hyperlink" Target="https://instagram.com/lamourabijoux.ma" TargetMode="External" Id="rId57"/><Relationship Type="http://schemas.openxmlformats.org/officeDocument/2006/relationships/hyperlink" Target="https://miguina.com" TargetMode="External" Id="rId58"/><Relationship Type="http://schemas.openxmlformats.org/officeDocument/2006/relationships/hyperlink" Target="https://wa.me/212661234567?text=Salam%20Miguina%20Horlogerie%2C%20je%20vous%20contacte%20concernant%20votre%20site%20web" TargetMode="External" Id="rId59"/><Relationship Type="http://schemas.openxmlformats.org/officeDocument/2006/relationships/hyperlink" Target="https://instagram.com/miguina_watches" TargetMode="External" Id="rId60"/><Relationship Type="http://schemas.openxmlformats.org/officeDocument/2006/relationships/hyperlink" Target="https://conceptdarna.ma" TargetMode="External" Id="rId61"/><Relationship Type="http://schemas.openxmlformats.org/officeDocument/2006/relationships/hyperlink" Target="https://wa.me/212617957962?text=Salam%20Concept%20Darna%2C%20je%20vous%20contacte%20concernant%20votre%20site%20web" TargetMode="External" Id="rId62"/><Relationship Type="http://schemas.openxmlformats.org/officeDocument/2006/relationships/hyperlink" Target="https://instagram.com/conceptdarna.ma" TargetMode="External" Id="rId63"/><Relationship Type="http://schemas.openxmlformats.org/officeDocument/2006/relationships/hyperlink" Target="https://kamerty.ma" TargetMode="External" Id="rId64"/><Relationship Type="http://schemas.openxmlformats.org/officeDocument/2006/relationships/hyperlink" Target="https://wa.me/212614282513?text=Salam%20Kamerty%2C%20je%20vous%20contacte%20concernant%20votre%20site%20web" TargetMode="External" Id="rId65"/><Relationship Type="http://schemas.openxmlformats.org/officeDocument/2006/relationships/hyperlink" Target="https://instagram.com/kamerty.ma" TargetMode="External" Id="rId66"/><Relationship Type="http://schemas.openxmlformats.org/officeDocument/2006/relationships/hyperlink" Target="https://hadriparfums.ma" TargetMode="External" Id="rId67"/><Relationship Type="http://schemas.openxmlformats.org/officeDocument/2006/relationships/hyperlink" Target="https://wa.me/212629852903?text=Salam%20Hadri%20Parfums%2C%20je%20vous%20contacte%20concernant%20votre%20site%20web" TargetMode="External" Id="rId68"/><Relationship Type="http://schemas.openxmlformats.org/officeDocument/2006/relationships/hyperlink" Target="https://instagram.com/hadriparfums" TargetMode="External" Id="rId69"/><Relationship Type="http://schemas.openxmlformats.org/officeDocument/2006/relationships/hyperlink" Target="https://massinart.ma" TargetMode="External" Id="rId70"/><Relationship Type="http://schemas.openxmlformats.org/officeDocument/2006/relationships/hyperlink" Target="https://wa.me/212774515975?text=Salam%20Massinart%2C%20je%20vous%20contacte%20concernant%20votre%20site%20web" TargetMode="External" Id="rId71"/><Relationship Type="http://schemas.openxmlformats.org/officeDocument/2006/relationships/hyperlink" Target="https://instagram.com/massinart.ma" TargetMode="External" Id="rId72"/><Relationship Type="http://schemas.openxmlformats.org/officeDocument/2006/relationships/hyperlink" Target="https://lustra.ma" TargetMode="External" Id="rId73"/><Relationship Type="http://schemas.openxmlformats.org/officeDocument/2006/relationships/hyperlink" Target="https://wa.me/212660743493?text=Salam%20Lustra%20Maroc%2C%20je%20vous%20contacte%20concernant%20votre%20site%20web" TargetMode="External" Id="rId74"/><Relationship Type="http://schemas.openxmlformats.org/officeDocument/2006/relationships/hyperlink" Target="https://instagram.com/lustra.ma" TargetMode="External" Id="rId75"/><Relationship Type="http://schemas.openxmlformats.org/officeDocument/2006/relationships/hyperlink" Target="https://sahareye.ma" TargetMode="External" Id="rId76"/><Relationship Type="http://schemas.openxmlformats.org/officeDocument/2006/relationships/hyperlink" Target="https://wa.me/212522334777?text=Salam%20Sahareye%2C%20je%20vous%20contacte%20concernant%20votre%20site%20web" TargetMode="External" Id="rId77"/><Relationship Type="http://schemas.openxmlformats.org/officeDocument/2006/relationships/hyperlink" Target="https://instagram.com/sahareye_officiel" TargetMode="External" Id="rId78"/><Relationship Type="http://schemas.openxmlformats.org/officeDocument/2006/relationships/hyperlink" Target="https://ottavio.ma" TargetMode="External" Id="rId79"/><Relationship Type="http://schemas.openxmlformats.org/officeDocument/2006/relationships/hyperlink" Target="https://wa.me/212663235966?text=Salam%20Ottavio%20Shoes%2C%20je%20vous%20contacte%20concernant%20votre%20site%20web" TargetMode="External" Id="rId80"/><Relationship Type="http://schemas.openxmlformats.org/officeDocument/2006/relationships/hyperlink" Target="https://instagram.com/ottavio_shoes" TargetMode="External" Id="rId81"/><Relationship Type="http://schemas.openxmlformats.org/officeDocument/2006/relationships/hyperlink" Target="https://arwafashion.ma" TargetMode="External" Id="rId82"/><Relationship Type="http://schemas.openxmlformats.org/officeDocument/2006/relationships/hyperlink" Target="https://wa.me/212708701701?text=Salam%20Arwa%20Fashion%2C%20je%20vous%20contacte%20concernant%20votre%20site%20web" TargetMode="External" Id="rId83"/><Relationship Type="http://schemas.openxmlformats.org/officeDocument/2006/relationships/hyperlink" Target="https://instagram.com/arwashop.maroc" TargetMode="External" Id="rId84"/><Relationship Type="http://schemas.openxmlformats.org/officeDocument/2006/relationships/hyperlink" Target="https://moanstudio.ma" TargetMode="External" Id="rId85"/><Relationship Type="http://schemas.openxmlformats.org/officeDocument/2006/relationships/hyperlink" Target="https://wa.me/212666935601?text=Salam%20Moan%20Studio%2C%20je%20vous%20contacte%20concernant%20votre%20site%20web" TargetMode="External" Id="rId86"/><Relationship Type="http://schemas.openxmlformats.org/officeDocument/2006/relationships/hyperlink" Target="https://instagram.com/moanstudio" TargetMode="External" Id="rId87"/><Relationship Type="http://schemas.openxmlformats.org/officeDocument/2006/relationships/hyperlink" Target="https://elsto.ma" TargetMode="External" Id="rId88"/><Relationship Type="http://schemas.openxmlformats.org/officeDocument/2006/relationships/hyperlink" Target="https://wa.me/212660000000?text=Salam%20Elite%20Store%2C%20je%20vous%20contacte%20concernant%20votre%20site%20web" TargetMode="External" Id="rId89"/><Relationship Type="http://schemas.openxmlformats.org/officeDocument/2006/relationships/hyperlink" Target="https://instagram.com/elsto.ma" TargetMode="External" Id="rId90"/><Relationship Type="http://schemas.openxmlformats.org/officeDocument/2006/relationships/hyperlink" Target="https://timgharin.ma" TargetMode="External" Id="rId91"/><Relationship Type="http://schemas.openxmlformats.org/officeDocument/2006/relationships/hyperlink" Target="https://wa.me/212664136250?text=Salam%20Timgharin%2C%20je%20vous%20contacte%20concernant%20votre%20site%20web" TargetMode="External" Id="rId92"/><Relationship Type="http://schemas.openxmlformats.org/officeDocument/2006/relationships/hyperlink" Target="https://instagram.com/timgharin.ma" TargetMode="External" Id="rId93"/><Relationship Type="http://schemas.openxmlformats.org/officeDocument/2006/relationships/hyperlink" Target="https://foryou.ma" TargetMode="External" Id="rId94"/><Relationship Type="http://schemas.openxmlformats.org/officeDocument/2006/relationships/hyperlink" Target="https://wa.me/212622906677?text=Salam%20ForYou%20Parfum%2C%20je%20vous%20contacte%20concernant%20votre%20site%20web" TargetMode="External" Id="rId95"/><Relationship Type="http://schemas.openxmlformats.org/officeDocument/2006/relationships/hyperlink" Target="https://instagram.com/foryou.parfum.maroc" TargetMode="External" Id="rId96"/><Relationship Type="http://schemas.openxmlformats.org/officeDocument/2006/relationships/hyperlink" Target="https://binaa.ma" TargetMode="External" Id="rId97"/><Relationship Type="http://schemas.openxmlformats.org/officeDocument/2006/relationships/hyperlink" Target="https://wa.me/212661587816?text=Salam%20Binaa%20Smart%20Home%2C%20je%20vous%20contacte%20concernant%20votre%20site%20web" TargetMode="External" Id="rId98"/><Relationship Type="http://schemas.openxmlformats.org/officeDocument/2006/relationships/hyperlink" Target="https://instagram.com/binaa.ma" TargetMode="External" Id="rId99"/><Relationship Type="http://schemas.openxmlformats.org/officeDocument/2006/relationships/hyperlink" Target="https://mirka.ma" TargetMode="External" Id="rId100"/><Relationship Type="http://schemas.openxmlformats.org/officeDocument/2006/relationships/hyperlink" Target="https://wa.me/212663602329?text=Salam%20Les%20Caf&#233;s%20Mirka%2C%20je%20vous%20contacte%20concernant%20votre%20site%20web" TargetMode="External" Id="rId101"/><Relationship Type="http://schemas.openxmlformats.org/officeDocument/2006/relationships/hyperlink" Target="https://instagram.com/lescafesmirka" TargetMode="External" Id="rId102"/><Relationship Type="http://schemas.openxmlformats.org/officeDocument/2006/relationships/hyperlink" Target="https://chabi-chic.com" TargetMode="External" Id="rId103"/><Relationship Type="http://schemas.openxmlformats.org/officeDocument/2006/relationships/hyperlink" Target="https://wa.me/212610104754?text=Salam%20Chabi%20Chic%2C%20je%20vous%20contacte%20concernant%20votre%20site%20web" TargetMode="External" Id="rId104"/><Relationship Type="http://schemas.openxmlformats.org/officeDocument/2006/relationships/hyperlink" Target="https://instagram.com/chabichicmorocco" TargetMode="External" Id="rId105"/></Relationships>
</file>

<file path=xl/worksheets/sheet1.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36" customWidth="1" min="1" max="1"/>
    <col width="20" customWidth="1" min="2" max="2"/>
    <col width="16" customWidth="1" min="3" max="3"/>
    <col width="24" customWidth="1" min="4" max="4"/>
    <col width="22" customWidth="1" min="5" max="5"/>
    <col width="24" customWidth="1" min="6" max="6"/>
    <col width="22" customWidth="1" min="7" max="7"/>
    <col width="24" customWidth="1" min="8" max="8"/>
    <col width="28" customWidth="1" min="9" max="9"/>
    <col width="16" customWidth="1" min="10" max="10"/>
    <col width="16" customWidth="1" min="11" max="11"/>
  </cols>
  <sheetData>
    <row r="1" ht="25" customHeight="1">
      <c r="A1" s="1" t="inlineStr">
        <is>
          <t>🇲🇦 PROGRAMME DE MIGRATION SHOPIFY VERS SITE PROPRIÉTAIRE - MAROC</t>
        </is>
      </c>
    </row>
    <row r="2" ht="25" customHeight="1"/>
    <row r="3">
      <c r="A3" s="2" t="inlineStr">
        <is>
          <t>Pipeline de prospection stratégique &amp; Étude d'impact financier pour les marques e-commerce marocaines</t>
        </is>
      </c>
    </row>
    <row r="4"/>
    <row r="5" ht="18" customHeight="1">
      <c r="A5" s="3" t="inlineStr">
        <is>
          <t>TOTAL PROSPECTS QUALIFIÉS</t>
        </is>
      </c>
      <c r="B5" s="4" t="n"/>
      <c r="C5" s="4" t="n"/>
      <c r="D5" s="3" t="inlineStr">
        <is>
          <t>PROSPECTS 'TRÈS HAUTE' PRIORITÉ</t>
        </is>
      </c>
      <c r="E5" s="4" t="n"/>
      <c r="F5" s="3" t="inlineStr">
        <is>
          <t>ÉCONOMIES MOY. ANNUELLES / CLIENT</t>
        </is>
      </c>
      <c r="G5" s="4" t="n"/>
      <c r="H5" s="3" t="inlineStr">
        <is>
          <t>FUITE DE DEVISES TOTALE / AN</t>
        </is>
      </c>
      <c r="I5" s="4" t="n"/>
      <c r="J5" s="4" t="n"/>
      <c r="K5" s="4" t="n"/>
    </row>
    <row r="6" ht="36" customHeight="1">
      <c r="A6" s="5">
        <f>COUNTA('🎯 Base Prospects (35)'!A4:A38)</f>
        <v/>
      </c>
      <c r="B6" s="4" t="n"/>
      <c r="C6" s="4" t="n"/>
      <c r="D6" s="5">
        <f>COUNTIF('🎯 Base Prospects (35)'!M4:M38, "*Très Haute*")</f>
        <v/>
      </c>
      <c r="E6" s="4" t="n"/>
      <c r="F6" s="6">
        <f>AVERAGE('🎯 Base Prospects (35)'!L4:L38)*12</f>
        <v/>
      </c>
      <c r="G6" s="4" t="n"/>
      <c r="H6" s="6">
        <f>SUM('🎯 Base Prospects (35)'!L4:L38)*12</f>
        <v/>
      </c>
      <c r="I6" s="4" t="n"/>
      <c r="J6" s="4" t="n"/>
      <c r="K6" s="4" t="n"/>
    </row>
    <row r="7" ht="18" customHeight="1">
      <c r="A7" s="7" t="inlineStr">
        <is>
          <t>Boutiques Shopify au Maroc</t>
        </is>
      </c>
      <c r="B7" s="4" t="n"/>
      <c r="C7" s="4" t="n"/>
      <c r="D7" s="7" t="inlineStr">
        <is>
          <t>Marques prêtes pour migration</t>
        </is>
      </c>
      <c r="E7" s="4" t="n"/>
      <c r="F7" s="7" t="inlineStr">
        <is>
          <t>Dirhams (MAD) économisés/an</t>
        </is>
      </c>
      <c r="G7" s="4" t="n"/>
      <c r="H7" s="7" t="inlineStr">
        <is>
          <t>MAD gaspillés en abonnements US</t>
        </is>
      </c>
      <c r="I7" s="4" t="n"/>
      <c r="J7" s="4" t="n"/>
      <c r="K7" s="4" t="n"/>
    </row>
    <row r="8"/>
    <row r="9">
      <c r="A9" s="8" t="inlineStr">
        <is>
          <t>RÉPARTITION PAR CATÉGORIE / NICHE</t>
        </is>
      </c>
      <c r="I9" s="8" t="inlineStr">
        <is>
          <t>PRIORITÉ DE PROSPECTION</t>
        </is>
      </c>
    </row>
    <row r="10">
      <c r="A10" s="9" t="inlineStr">
        <is>
          <t>Catégorie Principale</t>
        </is>
      </c>
      <c r="B10" s="9" t="inlineStr">
        <is>
          <t>Nombre de Boutiques</t>
        </is>
      </c>
      <c r="C10" s="9" t="inlineStr">
        <is>
          <t>% du Total</t>
        </is>
      </c>
      <c r="D10" s="9" t="inlineStr">
        <is>
          <t>Enjeux Clés de Migration</t>
        </is>
      </c>
      <c r="I10" s="9" t="inlineStr">
        <is>
          <t>Niveau de Priorité</t>
        </is>
      </c>
      <c r="K10" s="9" t="inlineStr">
        <is>
          <t>Nombre</t>
        </is>
      </c>
    </row>
    <row r="11">
      <c r="A11" s="10" t="inlineStr">
        <is>
          <t>Bijouterie, Joaillerie &amp; Horlogerie</t>
        </is>
      </c>
      <c r="B11" s="11" t="n">
        <v>8</v>
      </c>
      <c r="C11" s="12" t="n">
        <v>0.2285714285714286</v>
      </c>
      <c r="D11" s="13" t="inlineStr">
        <is>
          <t>Paniers élevés, besoin d'élégance et de confiance maximale</t>
        </is>
      </c>
      <c r="E11" s="14" t="n"/>
      <c r="F11" s="14" t="n"/>
      <c r="G11" s="14" t="n"/>
      <c r="I11" s="15" t="inlineStr">
        <is>
          <t>🔥 Très Haute (Hot Leads)</t>
        </is>
      </c>
      <c r="K11" s="16">
        <f>COUNTIF('🎯 Base Prospects (35)'!M4:M38, "*Très Haute*")</f>
        <v/>
      </c>
    </row>
    <row r="12">
      <c r="A12" s="17" t="inlineStr">
        <is>
          <t>Mode, Prêt-à-porter, Caftans &amp; Abayas</t>
        </is>
      </c>
      <c r="B12" s="18" t="n">
        <v>8</v>
      </c>
      <c r="C12" s="19" t="n">
        <v>0.2285714285714286</v>
      </c>
      <c r="D12" s="20" t="inlineStr">
        <is>
          <t>Gros volumes, trafic intense pendant les drops, mobile 90%+</t>
        </is>
      </c>
      <c r="E12" s="4" t="n"/>
      <c r="F12" s="4" t="n"/>
      <c r="G12" s="4" t="n"/>
      <c r="I12" s="21" t="inlineStr">
        <is>
          <t>⚡ Haute Priorité</t>
        </is>
      </c>
      <c r="K12" s="22">
        <f>COUNTIF('🎯 Base Prospects (35)'!M4:M38, "*Haute*") - COUNTIF('🎯 Base Prospects (35)'!M4:M38, "*Très Haute*")</f>
        <v/>
      </c>
    </row>
    <row r="13">
      <c r="A13" s="10" t="inlineStr">
        <is>
          <t>Maroquinerie &amp; Chaussures en cuir</t>
        </is>
      </c>
      <c r="B13" s="11" t="n">
        <v>5</v>
      </c>
      <c r="C13" s="12" t="n">
        <v>0.1428571428571428</v>
      </c>
      <c r="D13" s="13" t="inlineStr">
        <is>
          <t>Artisanat d'excellence (Fès/Marrakech), fort taux de conversion</t>
        </is>
      </c>
      <c r="E13" s="14" t="n"/>
      <c r="F13" s="14" t="n"/>
      <c r="G13" s="14" t="n"/>
      <c r="I13" s="23" t="inlineStr">
        <is>
          <t>📌 Moyenne Priorité</t>
        </is>
      </c>
      <c r="K13" s="24">
        <f>COUNTIF('🎯 Base Prospects (35)'!M4:M38, "*Moyenne*")</f>
        <v/>
      </c>
    </row>
    <row r="14">
      <c r="A14" s="17" t="inlineStr">
        <is>
          <t>Parfumerie, Cosmétique &amp; Bien-être</t>
        </is>
      </c>
      <c r="B14" s="18" t="n">
        <v>6</v>
      </c>
      <c r="C14" s="19" t="n">
        <v>0.1714285714285714</v>
      </c>
      <c r="D14" s="20" t="inlineStr">
        <is>
          <t>Produits récurrents, COD massif, besoin de bundles natifs</t>
        </is>
      </c>
      <c r="E14" s="4" t="n"/>
      <c r="F14" s="4" t="n"/>
      <c r="G14" s="4" t="n"/>
    </row>
    <row r="15">
      <c r="A15" s="10" t="inlineStr">
        <is>
          <t>Maison, Décoration d'intérieur &amp; Art</t>
        </is>
      </c>
      <c r="B15" s="11" t="n">
        <v>5</v>
      </c>
      <c r="C15" s="12" t="n">
        <v>0.1428571428571428</v>
      </c>
      <c r="D15" s="13" t="inlineStr">
        <is>
          <t>Configurateurs visuels, livraison par ville, commandes B2B/B2C</t>
        </is>
      </c>
      <c r="E15" s="14" t="n"/>
      <c r="F15" s="14" t="n"/>
      <c r="G15" s="14" t="n"/>
    </row>
    <row r="16">
      <c r="A16" s="17" t="inlineStr">
        <is>
          <t>High-Tech, Domotique &amp; Santé</t>
        </is>
      </c>
      <c r="B16" s="18" t="n">
        <v>3</v>
      </c>
      <c r="C16" s="19" t="n">
        <v>0.08571428571428572</v>
      </c>
      <c r="D16" s="20" t="inlineStr">
        <is>
          <t>Fiches techniques riches, SAV et facturation ICE obligatoire</t>
        </is>
      </c>
      <c r="E16" s="4" t="n"/>
      <c r="F16" s="4" t="n"/>
      <c r="G16" s="4" t="n"/>
    </row>
    <row r="17"/>
    <row r="18">
      <c r="A18" s="8" t="inlineStr">
        <is>
          <t>LES 4 DOULEURS MAJEURES DE SHOPIFY POUR LES COMMERÇANTS MAROCAINS</t>
        </is>
      </c>
    </row>
    <row r="19" ht="20" customHeight="1"/>
    <row r="20" ht="42" customHeight="1">
      <c r="A20" s="25" t="inlineStr">
        <is>
          <t>1. Pression sur la Dotation E-commerce</t>
        </is>
      </c>
      <c r="B20" s="4" t="n"/>
      <c r="C20" s="4" t="n"/>
      <c r="D20" s="26" t="inlineStr">
        <is>
          <t>Les commerçants paient l'abonnement Shopify ($39-$399) + 5 à 10 apps ($100-$300) par mois en USD sur leur carte bancaire internationale. Cela épuise leur quota officiel (dotation e-commerce) au détriment de leurs dépenses publicitaires Facebook/TikTok Ads indispensables.</t>
        </is>
      </c>
      <c r="E20" s="4" t="n"/>
      <c r="F20" s="4" t="n"/>
      <c r="G20" s="4" t="n"/>
      <c r="H20" s="4" t="n"/>
      <c r="I20" s="4" t="n"/>
      <c r="J20" s="4" t="n"/>
      <c r="K20" s="4" t="n"/>
    </row>
    <row r="21" ht="42" customHeight="1">
      <c r="A21" s="25" t="inlineStr">
        <is>
          <t>2. Pénalité de 2% sur les Commandes COD</t>
        </is>
      </c>
      <c r="B21" s="4" t="n"/>
      <c r="C21" s="4" t="n"/>
      <c r="D21" s="26" t="inlineStr">
        <is>
          <t>Shopify n'ayant pas de passerelle 'Shopify Payments' au Maroc, la plateforme prélève des frais de transaction additionnels (0.5% à 2%) sur toutes les commandes, y compris le Cash on Delivery (paiement à la livraison) !</t>
        </is>
      </c>
      <c r="E21" s="4" t="n"/>
      <c r="F21" s="4" t="n"/>
      <c r="G21" s="4" t="n"/>
      <c r="H21" s="4" t="n"/>
      <c r="I21" s="4" t="n"/>
      <c r="J21" s="4" t="n"/>
      <c r="K21" s="4" t="n"/>
    </row>
    <row r="22" ht="42" customHeight="1">
      <c r="A22" s="25" t="inlineStr">
        <is>
          <t>3. Checkout Inadapté au Marché Marocain</t>
        </is>
      </c>
      <c r="B22" s="4" t="n"/>
      <c r="C22" s="4" t="n"/>
      <c r="D22" s="26" t="inlineStr">
        <is>
          <t>Le checkout par défaut de Shopify compte 3 étapes et exige code postal, province, etc. Les Marocains n'ont pas de code postal. Les apps de formulaire COD (Releasit/EasySell) coûtent un abonnement mensuel et ralentissent la boutique.</t>
        </is>
      </c>
      <c r="E22" s="4" t="n"/>
      <c r="F22" s="4" t="n"/>
      <c r="G22" s="4" t="n"/>
      <c r="H22" s="4" t="n"/>
      <c r="I22" s="4" t="n"/>
      <c r="J22" s="4" t="n"/>
      <c r="K22" s="4" t="n"/>
    </row>
    <row r="23" ht="42" customHeight="1">
      <c r="A23" s="25" t="inlineStr">
        <is>
          <t>4. Lenteur Mobile &amp; Dépendance Totale</t>
        </is>
      </c>
      <c r="B23" s="4" t="n"/>
      <c r="C23" s="4" t="n"/>
      <c r="D23" s="26" t="inlineStr">
        <is>
          <t>Chaque app Shopify injecte des scripts tiers externes qui font chuter le score Google PageSpeed mobile sous les 40/100 sur le réseau 4G marocain, diminuant drastiquement le retour sur investissement des publicités.</t>
        </is>
      </c>
      <c r="E23" s="4" t="n"/>
      <c r="F23" s="4" t="n"/>
      <c r="G23" s="4" t="n"/>
      <c r="H23" s="4" t="n"/>
      <c r="I23" s="4" t="n"/>
      <c r="J23" s="4" t="n"/>
      <c r="K23" s="4" t="n"/>
    </row>
  </sheetData>
  <mergeCells count="32">
    <mergeCell ref="D20:K20"/>
    <mergeCell ref="D23:K23"/>
    <mergeCell ref="D12:G12"/>
    <mergeCell ref="I11:J11"/>
    <mergeCell ref="F6:G6"/>
    <mergeCell ref="D15:G15"/>
    <mergeCell ref="A21:C21"/>
    <mergeCell ref="D22:K22"/>
    <mergeCell ref="D14:G14"/>
    <mergeCell ref="F7:G7"/>
    <mergeCell ref="H5:K5"/>
    <mergeCell ref="D6:E6"/>
    <mergeCell ref="D21:K21"/>
    <mergeCell ref="A5:C5"/>
    <mergeCell ref="A23:C23"/>
    <mergeCell ref="F5:G5"/>
    <mergeCell ref="A22:C22"/>
    <mergeCell ref="D10:G10"/>
    <mergeCell ref="A20:C20"/>
    <mergeCell ref="I12:J12"/>
    <mergeCell ref="D7:E7"/>
    <mergeCell ref="H6:K6"/>
    <mergeCell ref="D11:G11"/>
    <mergeCell ref="D13:G13"/>
    <mergeCell ref="A1:K2"/>
    <mergeCell ref="I10:J10"/>
    <mergeCell ref="D5:E5"/>
    <mergeCell ref="A6:C6"/>
    <mergeCell ref="D16:G16"/>
    <mergeCell ref="H7:K7"/>
    <mergeCell ref="I13:J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26" customWidth="1" min="4" max="4"/>
    <col width="18" customWidth="1" min="5" max="5"/>
    <col width="20" customWidth="1" min="6" max="6"/>
    <col width="22" customWidth="1" min="7" max="7"/>
    <col width="28" customWidth="1" min="8" max="8"/>
    <col width="14" customWidth="1" min="9" max="9"/>
    <col width="24" customWidth="1" min="10" max="10"/>
    <col width="16" customWidth="1" min="11" max="11"/>
    <col width="18" customWidth="1" min="12" max="12"/>
    <col width="16" customWidth="1" min="13" max="13"/>
    <col width="46" customWidth="1" min="14" max="14"/>
    <col width="30" customWidth="1" min="15" max="15"/>
    <col width="46" customWidth="1" min="16" max="16"/>
    <col width="20" customWidth="1" min="17" max="17"/>
    <col width="16" customWidth="1" min="18" max="18"/>
    <col width="34" customWidth="1" min="19" max="19"/>
  </cols>
  <sheetData>
    <row r="1" ht="32" customHeight="1">
      <c r="A1" s="1" t="inlineStr">
        <is>
          <t>BASE DE PROSPECTION STRATÉGIQUE - 35 BOUTIQUES SHOPIFY AU MAROC À MIGRER</t>
        </is>
      </c>
    </row>
    <row r="2"/>
    <row r="3" ht="28" customHeight="1">
      <c r="A3" s="9" t="inlineStr">
        <is>
          <t>N°</t>
        </is>
      </c>
      <c r="B3" s="9" t="inlineStr">
        <is>
          <t>Marque (Smiya)</t>
        </is>
      </c>
      <c r="C3" s="9" t="inlineStr">
        <is>
          <t>Niche / Catégorie</t>
        </is>
      </c>
      <c r="D3" s="9" t="inlineStr">
        <is>
          <t>Site Web (URL)</t>
        </is>
      </c>
      <c r="E3" s="9" t="inlineStr">
        <is>
          <t>Ville / Siège</t>
        </is>
      </c>
      <c r="F3" s="9" t="inlineStr">
        <is>
          <t>WhatsApp Business</t>
        </is>
      </c>
      <c r="G3" s="9" t="inlineStr">
        <is>
          <t>Lien Direct WhatsApp</t>
        </is>
      </c>
      <c r="H3" s="9" t="inlineStr">
        <is>
          <t>Email Contact</t>
        </is>
      </c>
      <c r="I3" s="9" t="inlineStr">
        <is>
          <t>Instagram</t>
        </is>
      </c>
      <c r="J3" s="9" t="inlineStr">
        <is>
          <t>Positionnement</t>
        </is>
      </c>
      <c r="K3" s="9" t="inlineStr">
        <is>
          <t>Coût Shopify Estimé ($/m)</t>
        </is>
      </c>
      <c r="L3" s="9" t="inlineStr">
        <is>
          <t>Coût Shopify Estimé (DH/m)</t>
        </is>
      </c>
      <c r="M3" s="9" t="inlineStr">
        <is>
          <t>Priorité</t>
        </is>
      </c>
      <c r="N3" s="9" t="inlineStr">
        <is>
          <t>Douleur Principale Shopify</t>
        </is>
      </c>
      <c r="O3" s="9" t="inlineStr">
        <is>
          <t>Stack Recommandée</t>
        </is>
      </c>
      <c r="P3" s="9" t="inlineStr">
        <is>
          <t>Accroche Personnalisée / Pitch</t>
        </is>
      </c>
      <c r="Q3" s="9" t="inlineStr">
        <is>
          <t>Statut Prospection</t>
        </is>
      </c>
      <c r="R3" s="9" t="inlineStr">
        <is>
          <t>Dernier Contact</t>
        </is>
      </c>
      <c r="S3" s="9" t="inlineStr">
        <is>
          <t>Prochaine Action</t>
        </is>
      </c>
    </row>
    <row r="4" ht="32" customHeight="1">
      <c r="A4" s="27" t="n">
        <v>1</v>
      </c>
      <c r="B4" s="17" t="inlineStr">
        <is>
          <t>Anulus Joaillerie</t>
        </is>
      </c>
      <c r="C4" s="28" t="inlineStr">
        <is>
          <t>Bijouterie &amp; Horlogerie (Or &amp; Argent)</t>
        </is>
      </c>
      <c r="D4" s="29" t="inlineStr">
        <is>
          <t>https://anulus.ma</t>
        </is>
      </c>
      <c r="E4" s="18" t="inlineStr">
        <is>
          <t>Casablanca</t>
        </is>
      </c>
      <c r="F4" s="27" t="inlineStr">
        <is>
          <t>+212 6 39 15 68 83</t>
        </is>
      </c>
      <c r="G4" s="30" t="inlineStr">
        <is>
          <t>💬 Ouvrir WhatsApp</t>
        </is>
      </c>
      <c r="H4" s="28" t="inlineStr">
        <is>
          <t>contact@anulus.ma</t>
        </is>
      </c>
      <c r="I4" s="30" t="inlineStr">
        <is>
          <t>Instagram</t>
        </is>
      </c>
      <c r="J4" s="18" t="inlineStr">
        <is>
          <t>Haut de Gamme / Luxe</t>
        </is>
      </c>
      <c r="K4" s="31" t="n">
        <v>180</v>
      </c>
      <c r="L4" s="32">
        <f>K4*10</f>
        <v/>
      </c>
      <c r="M4" s="16" t="inlineStr">
        <is>
          <t>🔥 Très Haute</t>
        </is>
      </c>
      <c r="N4" s="28" t="inlineStr">
        <is>
          <t>Plafond dotation e-commerce consommé en devises USD + frais de 2% sur chaque transaction + lenteur sur mobile due aux apps de zoom/avis.</t>
        </is>
      </c>
      <c r="O4" s="28" t="inlineStr">
        <is>
          <t>Next.js + Tailwind + CMI / COD</t>
        </is>
      </c>
      <c r="P4" s="28" t="inlineStr">
        <is>
          <t>Éliminez les 18 000 DH/an de frais Shopify récurrents et offrez une expérience d'achat joaillerie ultra-rapide et sécurisée 100% marocaine.</t>
        </is>
      </c>
      <c r="Q4" s="33" t="inlineStr">
        <is>
          <t>✅ Démo &amp; Audit Prêts</t>
        </is>
      </c>
      <c r="R4" s="18" t="inlineStr">
        <is>
          <t>Audit &amp; Démo Next.js générés</t>
        </is>
      </c>
      <c r="S4" s="28" t="inlineStr">
        <is>
          <t>Envoyer note vocale WhatsApp &amp; email</t>
        </is>
      </c>
    </row>
    <row r="5" ht="32" customHeight="1">
      <c r="A5" s="34" t="n">
        <v>2</v>
      </c>
      <c r="B5" s="10" t="inlineStr">
        <is>
          <t>Ma Montre Maroc</t>
        </is>
      </c>
      <c r="C5" s="35" t="inlineStr">
        <is>
          <t>Horlogerie &amp; Montres Homme/Femme</t>
        </is>
      </c>
      <c r="D5" s="36" t="inlineStr">
        <is>
          <t>https://mamontre.ma</t>
        </is>
      </c>
      <c r="E5" s="11" t="inlineStr">
        <is>
          <t>Casablanca</t>
        </is>
      </c>
      <c r="F5" s="34" t="inlineStr">
        <is>
          <t>+212 6 45 22 20 09</t>
        </is>
      </c>
      <c r="G5" s="37" t="inlineStr">
        <is>
          <t>💬 Ouvrir WhatsApp</t>
        </is>
      </c>
      <c r="H5" s="35" t="inlineStr">
        <is>
          <t>mamontre.ma@gmail.com</t>
        </is>
      </c>
      <c r="I5" s="37" t="inlineStr">
        <is>
          <t>Instagram</t>
        </is>
      </c>
      <c r="J5" s="11" t="inlineStr">
        <is>
          <t>Mid-range / Volume</t>
        </is>
      </c>
      <c r="K5" s="38" t="n">
        <v>150</v>
      </c>
      <c r="L5" s="39">
        <f>K5*10</f>
        <v/>
      </c>
      <c r="M5" s="22" t="inlineStr">
        <is>
          <t>Haute</t>
        </is>
      </c>
      <c r="N5" s="35" t="inlineStr">
        <is>
          <t>Dépendance à Releasit/EasySell pour le Cash-On-Delivery. Coût mensuel Shopify + pénalité de 2% sur chaque commande COD.</t>
        </is>
      </c>
      <c r="O5" s="35" t="inlineStr">
        <is>
          <t>WooCommerce Headless ou Next.js</t>
        </is>
      </c>
      <c r="P5" s="35" t="inlineStr">
        <is>
          <t>Checkout COD en 1 clic sans abonnement mensuel d'app tierce + confirmation automatique des commandes par WhatsApp API.</t>
        </is>
      </c>
      <c r="Q5" s="33" t="inlineStr">
        <is>
          <t>✅ Démo &amp; Audit Prêts</t>
        </is>
      </c>
      <c r="R5" s="11" t="inlineStr">
        <is>
          <t>Audit &amp; Démo Next.js générés</t>
        </is>
      </c>
      <c r="S5" s="35" t="inlineStr">
        <is>
          <t>Envoyer note vocale WhatsApp &amp; email</t>
        </is>
      </c>
    </row>
    <row r="6" ht="32" customHeight="1">
      <c r="A6" s="27" t="n">
        <v>3</v>
      </c>
      <c r="B6" s="17" t="inlineStr">
        <is>
          <t>Dynasty Maroc</t>
        </is>
      </c>
      <c r="C6" s="28" t="inlineStr">
        <is>
          <t>Linge de maison &amp; Décoration</t>
        </is>
      </c>
      <c r="D6" s="29" t="inlineStr">
        <is>
          <t>https://dynasty.ma</t>
        </is>
      </c>
      <c r="E6" s="18" t="inlineStr">
        <is>
          <t>Casablanca</t>
        </is>
      </c>
      <c r="F6" s="27" t="inlineStr">
        <is>
          <t>+212 7 63 77 80 49</t>
        </is>
      </c>
      <c r="G6" s="30" t="inlineStr">
        <is>
          <t>💬 Ouvrir WhatsApp</t>
        </is>
      </c>
      <c r="H6" s="28" t="inlineStr">
        <is>
          <t>contact@dynasty.ma</t>
        </is>
      </c>
      <c r="I6" s="30" t="inlineStr">
        <is>
          <t>Instagram</t>
        </is>
      </c>
      <c r="J6" s="18" t="inlineStr">
        <is>
          <t>Haut de Gamme</t>
        </is>
      </c>
      <c r="K6" s="31" t="n">
        <v>220</v>
      </c>
      <c r="L6" s="32">
        <f>K6*10</f>
        <v/>
      </c>
      <c r="M6" s="22" t="inlineStr">
        <is>
          <t>Haute</t>
        </is>
      </c>
      <c r="N6" s="28" t="inlineStr">
        <is>
          <t>Catalogue produits riche nécessitant des applications de personnalisation lourdes qui ralentissent le chargement sur mobile 4G.</t>
        </is>
      </c>
      <c r="O6" s="28" t="inlineStr">
        <is>
          <t>Next.js + Shopify Headless ou Custom</t>
        </is>
      </c>
      <c r="P6" s="28" t="inlineStr">
        <is>
          <t>Un site vitrine e-commerce ultra-fluide avec temps de chargement &lt; 1 sec, design sur-mesure digne des plus grands éditeurs de textile.</t>
        </is>
      </c>
      <c r="Q6" s="40" t="inlineStr">
        <is>
          <t>À Contacter</t>
        </is>
      </c>
      <c r="R6" s="18" t="inlineStr">
        <is>
          <t>-</t>
        </is>
      </c>
      <c r="S6" s="28" t="inlineStr">
        <is>
          <t>Premier contact WhatsApp / Audio personnalisé</t>
        </is>
      </c>
    </row>
    <row r="7" ht="32" customHeight="1">
      <c r="A7" s="34" t="n">
        <v>4</v>
      </c>
      <c r="B7" s="10" t="inlineStr">
        <is>
          <t>Flex Shoes</t>
        </is>
      </c>
      <c r="C7" s="35" t="inlineStr">
        <is>
          <t>Chaussures cuir véritable &amp; Maroquinerie</t>
        </is>
      </c>
      <c r="D7" s="36" t="inlineStr">
        <is>
          <t>https://flexshoes.ma</t>
        </is>
      </c>
      <c r="E7" s="11" t="inlineStr">
        <is>
          <t>Fès / Casablanca</t>
        </is>
      </c>
      <c r="F7" s="34" t="inlineStr">
        <is>
          <t>+212 6 70 59 88 44</t>
        </is>
      </c>
      <c r="G7" s="37" t="inlineStr">
        <is>
          <t>💬 Ouvrir WhatsApp</t>
        </is>
      </c>
      <c r="H7" s="35" t="inlineStr">
        <is>
          <t>flexshoes.ma@gmail.com</t>
        </is>
      </c>
      <c r="I7" s="37" t="inlineStr">
        <is>
          <t>Instagram</t>
        </is>
      </c>
      <c r="J7" s="11" t="inlineStr">
        <is>
          <t>Mid-range / Artisanat Cuir</t>
        </is>
      </c>
      <c r="K7" s="38" t="n">
        <v>140</v>
      </c>
      <c r="L7" s="39">
        <f>K7*10</f>
        <v/>
      </c>
      <c r="M7" s="16" t="inlineStr">
        <is>
          <t>🔥 Très Haute</t>
        </is>
      </c>
      <c r="N7" s="35" t="inlineStr">
        <is>
          <t>Taux d'abandon élevé sur mobile causé par le tunnel Shopify multi-étapes non adapté aux habitudes d'achat COD marocaines.</t>
        </is>
      </c>
      <c r="O7" s="35" t="inlineStr">
        <is>
          <t>Next.js + Tailwind / Fast COD</t>
        </is>
      </c>
      <c r="P7" s="35" t="inlineStr">
        <is>
          <t>Formulaire direct Nom + Téléphone + Ville + Pointure avec notification livreur intégrée (AMEEX / Cathedis) et zéro abonnement en devises.</t>
        </is>
      </c>
      <c r="Q7" s="40" t="inlineStr">
        <is>
          <t>À Contacter</t>
        </is>
      </c>
      <c r="R7" s="11" t="inlineStr">
        <is>
          <t>-</t>
        </is>
      </c>
      <c r="S7" s="35" t="inlineStr">
        <is>
          <t>Premier contact WhatsApp / Audio personnalisé</t>
        </is>
      </c>
    </row>
    <row r="8" ht="32" customHeight="1">
      <c r="A8" s="27" t="n">
        <v>5</v>
      </c>
      <c r="B8" s="17" t="inlineStr">
        <is>
          <t>Sacoluxe</t>
        </is>
      </c>
      <c r="C8" s="28" t="inlineStr">
        <is>
          <t>Sacs à main &amp; Maroquinerie de luxe</t>
        </is>
      </c>
      <c r="D8" s="29" t="inlineStr">
        <is>
          <t>https://sacoluxe.com</t>
        </is>
      </c>
      <c r="E8" s="18" t="inlineStr">
        <is>
          <t>Casablanca</t>
        </is>
      </c>
      <c r="F8" s="27" t="inlineStr">
        <is>
          <t>+212 6 45 22 20 09</t>
        </is>
      </c>
      <c r="G8" s="30" t="inlineStr">
        <is>
          <t>💬 Ouvrir WhatsApp</t>
        </is>
      </c>
      <c r="H8" s="28" t="inlineStr">
        <is>
          <t>sacoluxe@gmail.com</t>
        </is>
      </c>
      <c r="I8" s="30" t="inlineStr">
        <is>
          <t>Instagram</t>
        </is>
      </c>
      <c r="J8" s="18" t="inlineStr">
        <is>
          <t>Luxe / Tendance</t>
        </is>
      </c>
      <c r="K8" s="31" t="n">
        <v>160</v>
      </c>
      <c r="L8" s="32">
        <f>K8*10</f>
        <v/>
      </c>
      <c r="M8" s="24" t="inlineStr">
        <is>
          <t>Moyenne</t>
        </is>
      </c>
      <c r="N8" s="28" t="inlineStr">
        <is>
          <t>Identité visuelle limitée par les thèmes Shopify standards et commissions inutiles sur ventes.</t>
        </is>
      </c>
      <c r="O8" s="28" t="inlineStr">
        <is>
          <t>Next.js + Tailwind CSS</t>
        </is>
      </c>
      <c r="P8" s="28" t="inlineStr">
        <is>
          <t>Créez une véritable expérience boutique de luxe personnalisée sans payer de royalties mensuelles à Shopify.</t>
        </is>
      </c>
      <c r="Q8" s="40" t="inlineStr">
        <is>
          <t>À Contacter</t>
        </is>
      </c>
      <c r="R8" s="18" t="inlineStr">
        <is>
          <t>-</t>
        </is>
      </c>
      <c r="S8" s="28" t="inlineStr">
        <is>
          <t>Premier contact WhatsApp / Audio personnalisé</t>
        </is>
      </c>
    </row>
    <row r="9" ht="32" customHeight="1">
      <c r="A9" s="34" t="n">
        <v>6</v>
      </c>
      <c r="B9" s="10" t="inlineStr">
        <is>
          <t>Maison de Mode</t>
        </is>
      </c>
      <c r="C9" s="35" t="inlineStr">
        <is>
          <t>Mode, Chaussures, Sacs &amp; Bijoux</t>
        </is>
      </c>
      <c r="D9" s="36" t="inlineStr">
        <is>
          <t>https://maisondemode.ma</t>
        </is>
      </c>
      <c r="E9" s="11" t="inlineStr">
        <is>
          <t>Casablanca</t>
        </is>
      </c>
      <c r="F9" s="34" t="inlineStr">
        <is>
          <t>+212 7 00 91 87 91</t>
        </is>
      </c>
      <c r="G9" s="37" t="inlineStr">
        <is>
          <t>💬 Ouvrir WhatsApp</t>
        </is>
      </c>
      <c r="H9" s="35" t="inlineStr">
        <is>
          <t>contact@maisondemode.ma</t>
        </is>
      </c>
      <c r="I9" s="37" t="inlineStr">
        <is>
          <t>Instagram</t>
        </is>
      </c>
      <c r="J9" s="11" t="inlineStr">
        <is>
          <t>Mid-range</t>
        </is>
      </c>
      <c r="K9" s="38" t="n">
        <v>200</v>
      </c>
      <c r="L9" s="39">
        <f>K9*10</f>
        <v/>
      </c>
      <c r="M9" s="22" t="inlineStr">
        <is>
          <t>Haute</t>
        </is>
      </c>
      <c r="N9" s="35" t="inlineStr">
        <is>
          <t>Nombreux plugins installés (PageFly, Judge.me, COD form) créant un goulet d'étranglement de vitesse et un coût cumulé de ~200$/mois.</t>
        </is>
      </c>
      <c r="O9" s="35" t="inlineStr">
        <is>
          <t>Next.js + Direct COD + Supabase/SQL</t>
        </is>
      </c>
      <c r="P9" s="35" t="inlineStr">
        <is>
          <t>Économisez plus de 24 000 DH par an d'abonnements d'apps et améliorez votre taux de conversion mobile de +25%.</t>
        </is>
      </c>
      <c r="Q9" s="40" t="inlineStr">
        <is>
          <t>À Contacter</t>
        </is>
      </c>
      <c r="R9" s="11" t="inlineStr">
        <is>
          <t>-</t>
        </is>
      </c>
      <c r="S9" s="35" t="inlineStr">
        <is>
          <t>Premier contact WhatsApp / Audio personnalisé</t>
        </is>
      </c>
    </row>
    <row r="10" ht="32" customHeight="1">
      <c r="A10" s="27" t="n">
        <v>7</v>
      </c>
      <c r="B10" s="17" t="inlineStr">
        <is>
          <t>Aurea Accessories</t>
        </is>
      </c>
      <c r="C10" s="28" t="inlineStr">
        <is>
          <t>Bijoux &amp; Accessoires acier inoxydable</t>
        </is>
      </c>
      <c r="D10" s="29" t="inlineStr">
        <is>
          <t>https://aureaaccessories.ma</t>
        </is>
      </c>
      <c r="E10" s="18" t="inlineStr">
        <is>
          <t>Rabat</t>
        </is>
      </c>
      <c r="F10" s="27" t="inlineStr">
        <is>
          <t>+212 6 84 90 25 11</t>
        </is>
      </c>
      <c r="G10" s="30" t="inlineStr">
        <is>
          <t>💬 Ouvrir WhatsApp</t>
        </is>
      </c>
      <c r="H10" s="28" t="inlineStr">
        <is>
          <t>contact@aureaaccessories.ma</t>
        </is>
      </c>
      <c r="I10" s="30" t="inlineStr">
        <is>
          <t>Instagram</t>
        </is>
      </c>
      <c r="J10" s="18" t="inlineStr">
        <is>
          <t>Access / Trendy</t>
        </is>
      </c>
      <c r="K10" s="31" t="n">
        <v>130</v>
      </c>
      <c r="L10" s="32">
        <f>K10*10</f>
        <v/>
      </c>
      <c r="M10" s="16" t="inlineStr">
        <is>
          <t>🔥 Très Haute</t>
        </is>
      </c>
      <c r="N10" s="28" t="inlineStr">
        <is>
          <t>Panier moyen bas (150-250 DH), les frais Shopify et applications grèvent lourdement la marge nette.</t>
        </is>
      </c>
      <c r="O10" s="28" t="inlineStr">
        <is>
          <t>Nuxt / Next.js ou WooCommerce Pro</t>
        </is>
      </c>
      <c r="P10" s="28" t="inlineStr">
        <is>
          <t>Pour les paniers à 199 DH, chaque dirham de frais Shopify compte. Libérez vos marges et investissez vos devises dans TikTok Ads.</t>
        </is>
      </c>
      <c r="Q10" s="40" t="inlineStr">
        <is>
          <t>À Contacter</t>
        </is>
      </c>
      <c r="R10" s="18" t="inlineStr">
        <is>
          <t>-</t>
        </is>
      </c>
      <c r="S10" s="28" t="inlineStr">
        <is>
          <t>Premier contact WhatsApp / Audio personnalisé</t>
        </is>
      </c>
    </row>
    <row r="11" ht="32" customHeight="1">
      <c r="A11" s="34" t="n">
        <v>8</v>
      </c>
      <c r="B11" s="10" t="inlineStr">
        <is>
          <t>Viba Bijoux</t>
        </is>
      </c>
      <c r="C11" s="35" t="inlineStr">
        <is>
          <t>Bijoux &amp; Parures pour femmes</t>
        </is>
      </c>
      <c r="D11" s="36" t="inlineStr">
        <is>
          <t>https://vibabijoux.ma</t>
        </is>
      </c>
      <c r="E11" s="11" t="inlineStr">
        <is>
          <t>Casablanca</t>
        </is>
      </c>
      <c r="F11" s="34" t="inlineStr">
        <is>
          <t>+212 6 45 22 20 09</t>
        </is>
      </c>
      <c r="G11" s="37" t="inlineStr">
        <is>
          <t>💬 Ouvrir WhatsApp</t>
        </is>
      </c>
      <c r="H11" s="35" t="inlineStr">
        <is>
          <t>vibabijoux@gmail.com</t>
        </is>
      </c>
      <c r="I11" s="37" t="inlineStr">
        <is>
          <t>Instagram</t>
        </is>
      </c>
      <c r="J11" s="11" t="inlineStr">
        <is>
          <t>Mid-range</t>
        </is>
      </c>
      <c r="K11" s="38" t="n">
        <v>140</v>
      </c>
      <c r="L11" s="39">
        <f>K11*10</f>
        <v/>
      </c>
      <c r="M11" s="24" t="inlineStr">
        <is>
          <t>Moyenne</t>
        </is>
      </c>
      <c r="N11" s="35" t="inlineStr">
        <is>
          <t>Partage potentiel d'infrastructure/coordonnées avec d'autres marques (même numéro que Sacoluxe/MaMontre). Besoin de singularisation.</t>
        </is>
      </c>
      <c r="O11" s="35" t="inlineStr">
        <is>
          <t>Next.js e-commerce</t>
        </is>
      </c>
      <c r="P11" s="35" t="inlineStr">
        <is>
          <t>Distinguez votre marque avec une plateforme propriétaire unique, découplée des templates Shopify génériques.</t>
        </is>
      </c>
      <c r="Q11" s="40" t="inlineStr">
        <is>
          <t>À Contacter</t>
        </is>
      </c>
      <c r="R11" s="11" t="inlineStr">
        <is>
          <t>-</t>
        </is>
      </c>
      <c r="S11" s="35" t="inlineStr">
        <is>
          <t>Premier contact WhatsApp / Audio personnalisé</t>
        </is>
      </c>
    </row>
    <row r="12" ht="32" customHeight="1">
      <c r="A12" s="27" t="n">
        <v>9</v>
      </c>
      <c r="B12" s="17" t="inlineStr">
        <is>
          <t>Bleather Maroc</t>
        </is>
      </c>
      <c r="C12" s="28" t="inlineStr">
        <is>
          <t>Maroquinerie &amp; Cuir artisanal</t>
        </is>
      </c>
      <c r="D12" s="29" t="inlineStr">
        <is>
          <t>https://bleather.ma</t>
        </is>
      </c>
      <c r="E12" s="18" t="inlineStr">
        <is>
          <t>Marrakech</t>
        </is>
      </c>
      <c r="F12" s="27" t="inlineStr">
        <is>
          <t>+212 6 03 69 51 77</t>
        </is>
      </c>
      <c r="G12" s="30" t="inlineStr">
        <is>
          <t>💬 Ouvrir WhatsApp</t>
        </is>
      </c>
      <c r="H12" s="28" t="inlineStr">
        <is>
          <t>contact.bleather@gmail.com</t>
        </is>
      </c>
      <c r="I12" s="30" t="inlineStr">
        <is>
          <t>Instagram</t>
        </is>
      </c>
      <c r="J12" s="18" t="inlineStr">
        <is>
          <t>Haut de Gamme / Export</t>
        </is>
      </c>
      <c r="K12" s="31" t="n">
        <v>250</v>
      </c>
      <c r="L12" s="32">
        <f>K12*10</f>
        <v/>
      </c>
      <c r="M12" s="16" t="inlineStr">
        <is>
          <t>🔥 Très Haute</t>
        </is>
      </c>
      <c r="N12" s="28" t="inlineStr">
        <is>
          <t>Frais de transaction élevés sur les ventes internationales et limitations de passerelles de paiement locales en dirhams.</t>
        </is>
      </c>
      <c r="O12" s="28" t="inlineStr">
        <is>
          <t>Next.js + CMI + Stripe Multi-currency</t>
        </is>
      </c>
      <c r="P12" s="28" t="inlineStr">
        <is>
          <t>Un site bilingue/multidevise (MAD + EUR/USD) avec CMI intégré pour le Maroc et Stripe pour l'international sans commission 2% Shopify.</t>
        </is>
      </c>
      <c r="Q12" s="40" t="inlineStr">
        <is>
          <t>À Contacter</t>
        </is>
      </c>
      <c r="R12" s="18" t="inlineStr">
        <is>
          <t>-</t>
        </is>
      </c>
      <c r="S12" s="28" t="inlineStr">
        <is>
          <t>Premier contact WhatsApp / Audio personnalisé</t>
        </is>
      </c>
    </row>
    <row r="13" ht="32" customHeight="1">
      <c r="A13" s="34" t="n">
        <v>10</v>
      </c>
      <c r="B13" s="10" t="inlineStr">
        <is>
          <t>Feskin Cuir</t>
        </is>
      </c>
      <c r="C13" s="35" t="inlineStr">
        <is>
          <t>Maroquinerie artisanale &amp; Cuir de Fès</t>
        </is>
      </c>
      <c r="D13" s="36" t="inlineStr">
        <is>
          <t>https://feskin.ma</t>
        </is>
      </c>
      <c r="E13" s="11" t="inlineStr">
        <is>
          <t>Fès</t>
        </is>
      </c>
      <c r="F13" s="34" t="inlineStr">
        <is>
          <t>+212 6 61 78 90 12</t>
        </is>
      </c>
      <c r="G13" s="37" t="inlineStr">
        <is>
          <t>💬 Ouvrir WhatsApp</t>
        </is>
      </c>
      <c r="H13" s="35" t="inlineStr">
        <is>
          <t>contact@feskin.ma</t>
        </is>
      </c>
      <c r="I13" s="37" t="inlineStr">
        <is>
          <t>Instagram</t>
        </is>
      </c>
      <c r="J13" s="11" t="inlineStr">
        <is>
          <t>Artisanal / Authentique</t>
        </is>
      </c>
      <c r="K13" s="38" t="n">
        <v>120</v>
      </c>
      <c r="L13" s="39">
        <f>K13*10</f>
        <v/>
      </c>
      <c r="M13" s="22" t="inlineStr">
        <is>
          <t>Haute</t>
        </is>
      </c>
      <c r="N13" s="35" t="inlineStr">
        <is>
          <t>Paiement de factures en dollars épuisant la dotation e-commerce de l'artisan sans justification technique.</t>
        </is>
      </c>
      <c r="O13" s="35" t="inlineStr">
        <is>
          <t>WooCommerce Optimisé ou Custom Node/React</t>
        </is>
      </c>
      <c r="P13" s="35" t="inlineStr">
        <is>
          <t>Payez votre hébergement en dirhams au Maroc, conservez 100% de votre dotation e-commerce pour vos publicités.</t>
        </is>
      </c>
      <c r="Q13" s="40" t="inlineStr">
        <is>
          <t>À Contacter</t>
        </is>
      </c>
      <c r="R13" s="11" t="inlineStr">
        <is>
          <t>-</t>
        </is>
      </c>
      <c r="S13" s="35" t="inlineStr">
        <is>
          <t>Premier contact WhatsApp / Audio personnalisé</t>
        </is>
      </c>
    </row>
    <row r="14" ht="32" customHeight="1">
      <c r="A14" s="27" t="n">
        <v>11</v>
      </c>
      <c r="B14" s="17" t="inlineStr">
        <is>
          <t>Clakovs Brustel</t>
        </is>
      </c>
      <c r="C14" s="28" t="inlineStr">
        <is>
          <t>Chaussures de ville &amp; Prêt-à-porter</t>
        </is>
      </c>
      <c r="D14" s="29" t="inlineStr">
        <is>
          <t>https://clakovsbrustel.ma</t>
        </is>
      </c>
      <c r="E14" s="18" t="inlineStr">
        <is>
          <t>Casablanca</t>
        </is>
      </c>
      <c r="F14" s="27" t="inlineStr">
        <is>
          <t>+212 6 66 32 91 19</t>
        </is>
      </c>
      <c r="G14" s="30" t="inlineStr">
        <is>
          <t>💬 Ouvrir WhatsApp</t>
        </is>
      </c>
      <c r="H14" s="28" t="inlineStr">
        <is>
          <t>contact@clakovsbrustel.com</t>
        </is>
      </c>
      <c r="I14" s="30" t="inlineStr">
        <is>
          <t>Instagram</t>
        </is>
      </c>
      <c r="J14" s="18" t="inlineStr">
        <is>
          <t>Haut de Gamme Élégant</t>
        </is>
      </c>
      <c r="K14" s="31" t="n">
        <v>190</v>
      </c>
      <c r="L14" s="32">
        <f>K14*10</f>
        <v/>
      </c>
      <c r="M14" s="22" t="inlineStr">
        <is>
          <t>Haute</t>
        </is>
      </c>
      <c r="N14" s="28" t="inlineStr">
        <is>
          <t>Expérience d'achat standardisée ne reflétant pas le prestige de la marque et les exigences d'une clientèle masculine haut de gamme.</t>
        </is>
      </c>
      <c r="O14" s="28" t="inlineStr">
        <is>
          <t>Next.js + Tailwind + CMI/COD</t>
        </is>
      </c>
      <c r="P14" s="28" t="inlineStr">
        <is>
          <t>Sublimez votre image de marque avec une interface épurée, ultra-rapide et sans les bannières ou restrictions de Shopify.</t>
        </is>
      </c>
      <c r="Q14" s="40" t="inlineStr">
        <is>
          <t>À Contacter</t>
        </is>
      </c>
      <c r="R14" s="18" t="inlineStr">
        <is>
          <t>-</t>
        </is>
      </c>
      <c r="S14" s="28" t="inlineStr">
        <is>
          <t>Premier contact WhatsApp / Audio personnalisé</t>
        </is>
      </c>
    </row>
    <row r="15" ht="32" customHeight="1">
      <c r="A15" s="34" t="n">
        <v>12</v>
      </c>
      <c r="B15" s="10" t="inlineStr">
        <is>
          <t>Makushop</t>
        </is>
      </c>
      <c r="C15" s="35" t="inlineStr">
        <is>
          <t>Parfumerie &amp; Soins de beauté</t>
        </is>
      </c>
      <c r="D15" s="36" t="inlineStr">
        <is>
          <t>https://makushop.ma</t>
        </is>
      </c>
      <c r="E15" s="11" t="inlineStr">
        <is>
          <t>Casablanca</t>
        </is>
      </c>
      <c r="F15" s="34" t="inlineStr">
        <is>
          <t>+212 6 97 83 88 05</t>
        </is>
      </c>
      <c r="G15" s="37" t="inlineStr">
        <is>
          <t>💬 Ouvrir WhatsApp</t>
        </is>
      </c>
      <c r="H15" s="35" t="inlineStr">
        <is>
          <t>contact@makushop.ma</t>
        </is>
      </c>
      <c r="I15" s="37" t="inlineStr">
        <is>
          <t>Instagram</t>
        </is>
      </c>
      <c r="J15" s="11" t="inlineStr">
        <is>
          <t>Mass Market / Beauté</t>
        </is>
      </c>
      <c r="K15" s="38" t="n">
        <v>150</v>
      </c>
      <c r="L15" s="39">
        <f>K15*10</f>
        <v/>
      </c>
      <c r="M15" s="22" t="inlineStr">
        <is>
          <t>Haute</t>
        </is>
      </c>
      <c r="N15" s="35" t="inlineStr">
        <is>
          <t>Fort volume de commandes COD entraînant des frais transactionnels excessifs et des conflits de scripts d'upsell.</t>
        </is>
      </c>
      <c r="O15" s="35" t="inlineStr">
        <is>
          <t>Next.js E-commerce Custom</t>
        </is>
      </c>
      <c r="P15" s="35" t="inlineStr">
        <is>
          <t>Module d'upsell 'Achetez 2, obtenez le 3ème à -50%' natif et sans frais mensuels récurrents.</t>
        </is>
      </c>
      <c r="Q15" s="40" t="inlineStr">
        <is>
          <t>À Contacter</t>
        </is>
      </c>
      <c r="R15" s="11" t="inlineStr">
        <is>
          <t>-</t>
        </is>
      </c>
      <c r="S15" s="35" t="inlineStr">
        <is>
          <t>Premier contact WhatsApp / Audio personnalisé</t>
        </is>
      </c>
    </row>
    <row r="16" ht="32" customHeight="1">
      <c r="A16" s="27" t="n">
        <v>13</v>
      </c>
      <c r="B16" s="17" t="inlineStr">
        <is>
          <t>70mai Maroc</t>
        </is>
      </c>
      <c r="C16" s="28" t="inlineStr">
        <is>
          <t>Dashcams &amp; Accessoires Auto High-Tech</t>
        </is>
      </c>
      <c r="D16" s="29" t="inlineStr">
        <is>
          <t>https://70mai.ma</t>
        </is>
      </c>
      <c r="E16" s="18" t="inlineStr">
        <is>
          <t>Casablanca</t>
        </is>
      </c>
      <c r="F16" s="27" t="inlineStr">
        <is>
          <t>+212 6 71 45 03 67</t>
        </is>
      </c>
      <c r="G16" s="30" t="inlineStr">
        <is>
          <t>💬 Ouvrir WhatsApp</t>
        </is>
      </c>
      <c r="H16" s="28" t="inlineStr">
        <is>
          <t>contact@70mai.ma</t>
        </is>
      </c>
      <c r="I16" s="30" t="inlineStr">
        <is>
          <t>Instagram</t>
        </is>
      </c>
      <c r="J16" s="18" t="inlineStr">
        <is>
          <t>High-Tech / Distributeur</t>
        </is>
      </c>
      <c r="K16" s="31" t="n">
        <v>260</v>
      </c>
      <c r="L16" s="32">
        <f>K16*10</f>
        <v/>
      </c>
      <c r="M16" s="16" t="inlineStr">
        <is>
          <t>🔥 Très Haute</t>
        </is>
      </c>
      <c r="N16" s="28" t="inlineStr">
        <is>
          <t>Besoins techniques spécifiques (fiches techniques détaillées, vidéos de démo, garanties) qui alourdissent le thème Shopify.</t>
        </is>
      </c>
      <c r="O16" s="28" t="inlineStr">
        <is>
          <t>Next.js + Headless CMS + API Transporteur</t>
        </is>
      </c>
      <c r="P16" s="28" t="inlineStr">
        <is>
          <t>Une plateforme High-Tech ultra-performante intégrant gestion de garantie SAV, tracking de colis marocain et zéro commission.</t>
        </is>
      </c>
      <c r="Q16" s="40" t="inlineStr">
        <is>
          <t>À Contacter</t>
        </is>
      </c>
      <c r="R16" s="18" t="inlineStr">
        <is>
          <t>-</t>
        </is>
      </c>
      <c r="S16" s="28" t="inlineStr">
        <is>
          <t>Premier contact WhatsApp / Audio personnalisé</t>
        </is>
      </c>
    </row>
    <row r="17" ht="32" customHeight="1">
      <c r="A17" s="34" t="n">
        <v>14</v>
      </c>
      <c r="B17" s="10" t="inlineStr">
        <is>
          <t>Skyeveil</t>
        </is>
      </c>
      <c r="C17" s="35" t="inlineStr">
        <is>
          <t>Prêt-à-porter féminin &amp; Voiles</t>
        </is>
      </c>
      <c r="D17" s="36" t="inlineStr">
        <is>
          <t>https://skyeveil.com</t>
        </is>
      </c>
      <c r="E17" s="11" t="inlineStr">
        <is>
          <t>Casablanca</t>
        </is>
      </c>
      <c r="F17" s="34" t="inlineStr">
        <is>
          <t>+212 6 12 34 56 78</t>
        </is>
      </c>
      <c r="G17" s="37" t="inlineStr">
        <is>
          <t>💬 Ouvrir WhatsApp</t>
        </is>
      </c>
      <c r="H17" s="35" t="inlineStr">
        <is>
          <t>contact@skyeveil.com</t>
        </is>
      </c>
      <c r="I17" s="37" t="inlineStr">
        <is>
          <t>Instagram</t>
        </is>
      </c>
      <c r="J17" s="11" t="inlineStr">
        <is>
          <t>Modest Fashion</t>
        </is>
      </c>
      <c r="K17" s="38" t="n">
        <v>160</v>
      </c>
      <c r="L17" s="39">
        <f>K17*10</f>
        <v/>
      </c>
      <c r="M17" s="24" t="inlineStr">
        <is>
          <t>Moyenne</t>
        </is>
      </c>
      <c r="N17" s="35" t="inlineStr">
        <is>
          <t>Paiement de thèmes et d'applications mensuelles pour gérer les variations de couleurs et de tissus.</t>
        </is>
      </c>
      <c r="O17" s="35" t="inlineStr">
        <is>
          <t>Next.js + Tailwind</t>
        </is>
      </c>
      <c r="P17" s="35" t="inlineStr">
        <is>
          <t>Gestionnaire de variations fluide avec affichage instantané des couleurs sur mobile sans temps de chargement.</t>
        </is>
      </c>
      <c r="Q17" s="40" t="inlineStr">
        <is>
          <t>À Contacter</t>
        </is>
      </c>
      <c r="R17" s="11" t="inlineStr">
        <is>
          <t>-</t>
        </is>
      </c>
      <c r="S17" s="35" t="inlineStr">
        <is>
          <t>Premier contact WhatsApp / Audio personnalisé</t>
        </is>
      </c>
    </row>
    <row r="18" ht="32" customHeight="1">
      <c r="A18" s="27" t="n">
        <v>15</v>
      </c>
      <c r="B18" s="17" t="inlineStr">
        <is>
          <t>Minisouq Maroc</t>
        </is>
      </c>
      <c r="C18" s="28" t="inlineStr">
        <is>
          <t>Gadgets &amp; Lifestyle High-Tech</t>
        </is>
      </c>
      <c r="D18" s="29" t="inlineStr">
        <is>
          <t>https://minisouq.ma</t>
        </is>
      </c>
      <c r="E18" s="18" t="inlineStr">
        <is>
          <t>Tanger</t>
        </is>
      </c>
      <c r="F18" s="27" t="inlineStr">
        <is>
          <t>+212 6 55 44 33 22</t>
        </is>
      </c>
      <c r="G18" s="30" t="inlineStr">
        <is>
          <t>💬 Ouvrir WhatsApp</t>
        </is>
      </c>
      <c r="H18" s="28" t="inlineStr">
        <is>
          <t>contact@missov.ma</t>
        </is>
      </c>
      <c r="I18" s="30" t="inlineStr">
        <is>
          <t>Instagram</t>
        </is>
      </c>
      <c r="J18" s="18" t="inlineStr">
        <is>
          <t>Gadgets &amp; Nouveautés</t>
        </is>
      </c>
      <c r="K18" s="31" t="n">
        <v>180</v>
      </c>
      <c r="L18" s="32">
        <f>K18*10</f>
        <v/>
      </c>
      <c r="M18" s="22" t="inlineStr">
        <is>
          <t>Haute</t>
        </is>
      </c>
      <c r="N18" s="28" t="inlineStr">
        <is>
          <t>Besoin de créer des landing pages produits percutantes à haute conversion sans payer 49$/mois pour PageFly.</t>
        </is>
      </c>
      <c r="O18" s="28" t="inlineStr">
        <is>
          <t>Next.js + Landing Page Builder Natif</t>
        </is>
      </c>
      <c r="P18" s="28" t="inlineStr">
        <is>
          <t>Générateur de landing pages illimité intégré directement dans votre tableau de bord, sans frais supplémentaires.</t>
        </is>
      </c>
      <c r="Q18" s="40" t="inlineStr">
        <is>
          <t>À Contacter</t>
        </is>
      </c>
      <c r="R18" s="18" t="inlineStr">
        <is>
          <t>-</t>
        </is>
      </c>
      <c r="S18" s="28" t="inlineStr">
        <is>
          <t>Premier contact WhatsApp / Audio personnalisé</t>
        </is>
      </c>
    </row>
    <row r="19" ht="32" customHeight="1">
      <c r="A19" s="34" t="n">
        <v>16</v>
      </c>
      <c r="B19" s="10" t="inlineStr">
        <is>
          <t>Diabète Solutions</t>
        </is>
      </c>
      <c r="C19" s="35" t="inlineStr">
        <is>
          <t>Santé &amp; Capteurs médicaux</t>
        </is>
      </c>
      <c r="D19" s="36" t="inlineStr">
        <is>
          <t>https://diabetesolutions.ma</t>
        </is>
      </c>
      <c r="E19" s="11" t="inlineStr">
        <is>
          <t>Rabat</t>
        </is>
      </c>
      <c r="F19" s="34" t="inlineStr">
        <is>
          <t>+212 7 67 60 49 58</t>
        </is>
      </c>
      <c r="G19" s="37" t="inlineStr">
        <is>
          <t>💬 Ouvrir WhatsApp</t>
        </is>
      </c>
      <c r="H19" s="35" t="inlineStr">
        <is>
          <t>contact@diabetesolutions.ma</t>
        </is>
      </c>
      <c r="I19" s="37" t="inlineStr">
        <is>
          <t>Instagram</t>
        </is>
      </c>
      <c r="J19" s="11" t="inlineStr">
        <is>
          <t>Santé / Dispositifs Médicaux</t>
        </is>
      </c>
      <c r="K19" s="38" t="n">
        <v>220</v>
      </c>
      <c r="L19" s="39">
        <f>K19*10</f>
        <v/>
      </c>
      <c r="M19" s="16" t="inlineStr">
        <is>
          <t>🔥 Très Haute</t>
        </is>
      </c>
      <c r="N19" s="35" t="inlineStr">
        <is>
          <t>Exigence de confiance maximale et besoin de suivi personnalisé des patients/clients mal servi par les templates Shopify génériques.</t>
        </is>
      </c>
      <c r="O19" s="35" t="inlineStr">
        <is>
          <t>Next.js + Système de commande récurrente</t>
        </is>
      </c>
      <c r="P19" s="35" t="inlineStr">
        <is>
          <t>Un portail médical et e-commerce sécurisé, rassurant pour les patients, avec suivi d'ordonnance et paiement en ligne CMI sans frais Shopify.</t>
        </is>
      </c>
      <c r="Q19" s="40" t="inlineStr">
        <is>
          <t>À Contacter</t>
        </is>
      </c>
      <c r="R19" s="11" t="inlineStr">
        <is>
          <t>-</t>
        </is>
      </c>
      <c r="S19" s="35" t="inlineStr">
        <is>
          <t>Premier contact WhatsApp / Audio personnalisé</t>
        </is>
      </c>
    </row>
    <row r="20" ht="32" customHeight="1">
      <c r="A20" s="27" t="n">
        <v>17</v>
      </c>
      <c r="B20" s="17" t="inlineStr">
        <is>
          <t>Beauty Market</t>
        </is>
      </c>
      <c r="C20" s="28" t="inlineStr">
        <is>
          <t>Skincare &amp; Cosmétique bio</t>
        </is>
      </c>
      <c r="D20" s="29" t="inlineStr">
        <is>
          <t>https://beautymarket.ma</t>
        </is>
      </c>
      <c r="E20" s="18" t="inlineStr">
        <is>
          <t>Casablanca</t>
        </is>
      </c>
      <c r="F20" s="27" t="inlineStr">
        <is>
          <t>+212 6 99 50 55 20</t>
        </is>
      </c>
      <c r="G20" s="30" t="inlineStr">
        <is>
          <t>💬 Ouvrir WhatsApp</t>
        </is>
      </c>
      <c r="H20" s="28" t="inlineStr">
        <is>
          <t>contact@beautymarket.ma</t>
        </is>
      </c>
      <c r="I20" s="30" t="inlineStr">
        <is>
          <t>Instagram</t>
        </is>
      </c>
      <c r="J20" s="18" t="inlineStr">
        <is>
          <t>Bio &amp; Cosmétique</t>
        </is>
      </c>
      <c r="K20" s="31" t="n">
        <v>150</v>
      </c>
      <c r="L20" s="32">
        <f>K20*10</f>
        <v/>
      </c>
      <c r="M20" s="22" t="inlineStr">
        <is>
          <t>Haute</t>
        </is>
      </c>
      <c r="N20" s="28" t="inlineStr">
        <is>
          <t>Ralentissement important de la boutique dû aux widgets d'avis clients et d'instagram feed.</t>
        </is>
      </c>
      <c r="O20" s="28" t="inlineStr">
        <is>
          <t>Next.js + Tailwind + Headless Reviews</t>
        </is>
      </c>
      <c r="P20" s="28" t="inlineStr">
        <is>
          <t>Boostez vos conversions grâce à un score PageSpeed de 95+/100 sur mobile et gardez 100% de vos gains.</t>
        </is>
      </c>
      <c r="Q20" s="40" t="inlineStr">
        <is>
          <t>À Contacter</t>
        </is>
      </c>
      <c r="R20" s="18" t="inlineStr">
        <is>
          <t>-</t>
        </is>
      </c>
      <c r="S20" s="28" t="inlineStr">
        <is>
          <t>Premier contact WhatsApp / Audio personnalisé</t>
        </is>
      </c>
    </row>
    <row r="21" ht="32" customHeight="1">
      <c r="A21" s="34" t="n">
        <v>18</v>
      </c>
      <c r="B21" s="10" t="inlineStr">
        <is>
          <t>Fenna Maroc</t>
        </is>
      </c>
      <c r="C21" s="35" t="inlineStr">
        <is>
          <t>Accessoires de mode &amp; Sacs</t>
        </is>
      </c>
      <c r="D21" s="36" t="inlineStr">
        <is>
          <t>https://fenna.ma</t>
        </is>
      </c>
      <c r="E21" s="11" t="inlineStr">
        <is>
          <t>Casablanca</t>
        </is>
      </c>
      <c r="F21" s="34" t="inlineStr">
        <is>
          <t>+212 6 78 90 12 34</t>
        </is>
      </c>
      <c r="G21" s="37" t="inlineStr">
        <is>
          <t>💬 Ouvrir WhatsApp</t>
        </is>
      </c>
      <c r="H21" s="35" t="inlineStr">
        <is>
          <t>contact@fenna.ma</t>
        </is>
      </c>
      <c r="I21" s="37" t="inlineStr">
        <is>
          <t>Instagram</t>
        </is>
      </c>
      <c r="J21" s="11" t="inlineStr">
        <is>
          <t>Fashion / Tendance</t>
        </is>
      </c>
      <c r="K21" s="38" t="n">
        <v>130</v>
      </c>
      <c r="L21" s="39">
        <f>K21*10</f>
        <v/>
      </c>
      <c r="M21" s="24" t="inlineStr">
        <is>
          <t>Moyenne</t>
        </is>
      </c>
      <c r="N21" s="35" t="inlineStr">
        <is>
          <t>Frais mensuels récurrents en dollars qui pèsent sur la rentabilité en phase de croissance.</t>
        </is>
      </c>
      <c r="O21" s="35" t="inlineStr">
        <is>
          <t>Next.js ou WooCommerce Pro</t>
        </is>
      </c>
      <c r="P21" s="35" t="inlineStr">
        <is>
          <t>Investissez vos 15 000 DH annuels de frais Shopify dans vos campagnes d'influenceurs sur Instagram.</t>
        </is>
      </c>
      <c r="Q21" s="40" t="inlineStr">
        <is>
          <t>À Contacter</t>
        </is>
      </c>
      <c r="R21" s="11" t="inlineStr">
        <is>
          <t>-</t>
        </is>
      </c>
      <c r="S21" s="35" t="inlineStr">
        <is>
          <t>Premier contact WhatsApp / Audio personnalisé</t>
        </is>
      </c>
    </row>
    <row r="22" ht="32" customHeight="1">
      <c r="A22" s="27" t="n">
        <v>19</v>
      </c>
      <c r="B22" s="17" t="inlineStr">
        <is>
          <t>Lamoura Bijoux</t>
        </is>
      </c>
      <c r="C22" s="28" t="inlineStr">
        <is>
          <t>Bijouterie fine &amp; Joaillerie tendance</t>
        </is>
      </c>
      <c r="D22" s="29" t="inlineStr">
        <is>
          <t>https://lamoura.ma</t>
        </is>
      </c>
      <c r="E22" s="18" t="inlineStr">
        <is>
          <t>Casablanca</t>
        </is>
      </c>
      <c r="F22" s="27" t="inlineStr">
        <is>
          <t>+212 6 45 67 89 01</t>
        </is>
      </c>
      <c r="G22" s="30" t="inlineStr">
        <is>
          <t>💬 Ouvrir WhatsApp</t>
        </is>
      </c>
      <c r="H22" s="28" t="inlineStr">
        <is>
          <t>contact@lamoura.ma</t>
        </is>
      </c>
      <c r="I22" s="30" t="inlineStr">
        <is>
          <t>Instagram</t>
        </is>
      </c>
      <c r="J22" s="18" t="inlineStr">
        <is>
          <t>Bijouterie / Féminin</t>
        </is>
      </c>
      <c r="K22" s="31" t="n">
        <v>140</v>
      </c>
      <c r="L22" s="32">
        <f>K22*10</f>
        <v/>
      </c>
      <c r="M22" s="22" t="inlineStr">
        <is>
          <t>Haute</t>
        </is>
      </c>
      <c r="N22" s="28" t="inlineStr">
        <is>
          <t>Panier d'achat standard Shopify qui distrait l'acheteur mobile et réduit le taux de complétion des commandes.</t>
        </is>
      </c>
      <c r="O22" s="28" t="inlineStr">
        <is>
          <t>Next.js + Fast Checkout WhatsApp</t>
        </is>
      </c>
      <c r="P22" s="28" t="inlineStr">
        <is>
          <t>Tunnel d'achat 'Commander par WhatsApp' ou 'Paiement COD direct' optimisé pour doubler vos ventes.</t>
        </is>
      </c>
      <c r="Q22" s="40" t="inlineStr">
        <is>
          <t>À Contacter</t>
        </is>
      </c>
      <c r="R22" s="18" t="inlineStr">
        <is>
          <t>-</t>
        </is>
      </c>
      <c r="S22" s="28" t="inlineStr">
        <is>
          <t>Premier contact WhatsApp / Audio personnalisé</t>
        </is>
      </c>
    </row>
    <row r="23" ht="32" customHeight="1">
      <c r="A23" s="34" t="n">
        <v>20</v>
      </c>
      <c r="B23" s="10" t="inlineStr">
        <is>
          <t>Miguina Horlogerie</t>
        </is>
      </c>
      <c r="C23" s="35" t="inlineStr">
        <is>
          <t>Haute Horlogerie &amp; Montres Prestige</t>
        </is>
      </c>
      <c r="D23" s="36" t="inlineStr">
        <is>
          <t>https://miguina.com</t>
        </is>
      </c>
      <c r="E23" s="11" t="inlineStr">
        <is>
          <t>Casablanca</t>
        </is>
      </c>
      <c r="F23" s="34" t="inlineStr">
        <is>
          <t>+212 6 61 23 45 67</t>
        </is>
      </c>
      <c r="G23" s="37" t="inlineStr">
        <is>
          <t>💬 Ouvrir WhatsApp</t>
        </is>
      </c>
      <c r="H23" s="35" t="inlineStr">
        <is>
          <t>contact@miguina.com</t>
        </is>
      </c>
      <c r="I23" s="37" t="inlineStr">
        <is>
          <t>Instagram</t>
        </is>
      </c>
      <c r="J23" s="11" t="inlineStr">
        <is>
          <t>Luxe &amp; Prestige</t>
        </is>
      </c>
      <c r="K23" s="38" t="n">
        <v>290</v>
      </c>
      <c r="L23" s="39">
        <f>K23*10</f>
        <v/>
      </c>
      <c r="M23" s="16" t="inlineStr">
        <is>
          <t>🔥 Très Haute</t>
        </is>
      </c>
      <c r="N23" s="35" t="inlineStr">
        <is>
          <t>Produits à forte valeur unitaire : la commission Shopify et l'absence de personnalisation sur-mesure dévalorisent l'offre.</t>
        </is>
      </c>
      <c r="O23" s="35" t="inlineStr">
        <is>
          <t>Next.js + 3D Viewer / High-End Styling</t>
        </is>
      </c>
      <c r="P23" s="35" t="inlineStr">
        <is>
          <t>Un écrin numérique sur-mesure digne des grandes maisons horlogères suisses, sans dépendance à une plateforme SaaS tierce.</t>
        </is>
      </c>
      <c r="Q23" s="40" t="inlineStr">
        <is>
          <t>À Contacter</t>
        </is>
      </c>
      <c r="R23" s="11" t="inlineStr">
        <is>
          <t>-</t>
        </is>
      </c>
      <c r="S23" s="35" t="inlineStr">
        <is>
          <t>Premier contact WhatsApp / Audio personnalisé</t>
        </is>
      </c>
    </row>
    <row r="24" ht="32" customHeight="1">
      <c r="A24" s="27" t="n">
        <v>21</v>
      </c>
      <c r="B24" s="17" t="inlineStr">
        <is>
          <t>Concept Darna</t>
        </is>
      </c>
      <c r="C24" s="28" t="inlineStr">
        <is>
          <t>Luminaires &amp; Décoration d'intérieur</t>
        </is>
      </c>
      <c r="D24" s="29" t="inlineStr">
        <is>
          <t>https://conceptdarna.ma</t>
        </is>
      </c>
      <c r="E24" s="18" t="inlineStr">
        <is>
          <t>Casablanca</t>
        </is>
      </c>
      <c r="F24" s="27" t="inlineStr">
        <is>
          <t>+212 6 17 95 79 62</t>
        </is>
      </c>
      <c r="G24" s="30" t="inlineStr">
        <is>
          <t>💬 Ouvrir WhatsApp</t>
        </is>
      </c>
      <c r="H24" s="28" t="inlineStr">
        <is>
          <t>contact@conceptdarna.ma</t>
        </is>
      </c>
      <c r="I24" s="30" t="inlineStr">
        <is>
          <t>Instagram</t>
        </is>
      </c>
      <c r="J24" s="18" t="inlineStr">
        <is>
          <t>Haut de Gamme Déco</t>
        </is>
      </c>
      <c r="K24" s="31" t="n">
        <v>210</v>
      </c>
      <c r="L24" s="32">
        <f>K24*10</f>
        <v/>
      </c>
      <c r="M24" s="16" t="inlineStr">
        <is>
          <t>🔥 Très Haute</t>
        </is>
      </c>
      <c r="N24" s="28" t="inlineStr">
        <is>
          <t>Objets volumineux nécessitant un calcul de frais de livraison par ville/région complexe mal géré par le checkout Shopify.</t>
        </is>
      </c>
      <c r="O24" s="28" t="inlineStr">
        <is>
          <t>Next.js + Moteur de livraison personnalisé</t>
        </is>
      </c>
      <c r="P24" s="28" t="inlineStr">
        <is>
          <t>Calcul automatique des frais de livraison selon la ville (Casa vs hors Casa) et intégration directe des transporteurs sans plugin payant.</t>
        </is>
      </c>
      <c r="Q24" s="40" t="inlineStr">
        <is>
          <t>À Contacter</t>
        </is>
      </c>
      <c r="R24" s="18" t="inlineStr">
        <is>
          <t>-</t>
        </is>
      </c>
      <c r="S24" s="28" t="inlineStr">
        <is>
          <t>Premier contact WhatsApp / Audio personnalisé</t>
        </is>
      </c>
    </row>
    <row r="25" ht="32" customHeight="1">
      <c r="A25" s="34" t="n">
        <v>22</v>
      </c>
      <c r="B25" s="10" t="inlineStr">
        <is>
          <t>Kamerty</t>
        </is>
      </c>
      <c r="C25" s="35" t="inlineStr">
        <is>
          <t>Matériel photo, vidéo &amp; studio professionnel</t>
        </is>
      </c>
      <c r="D25" s="36" t="inlineStr">
        <is>
          <t>https://kamerty.ma</t>
        </is>
      </c>
      <c r="E25" s="11" t="inlineStr">
        <is>
          <t>Casablanca</t>
        </is>
      </c>
      <c r="F25" s="34" t="inlineStr">
        <is>
          <t>+212 6 14 28 25 13</t>
        </is>
      </c>
      <c r="G25" s="37" t="inlineStr">
        <is>
          <t>💬 Ouvrir WhatsApp</t>
        </is>
      </c>
      <c r="H25" s="35" t="inlineStr">
        <is>
          <t>contact@kamerty.ma</t>
        </is>
      </c>
      <c r="I25" s="37" t="inlineStr">
        <is>
          <t>Instagram</t>
        </is>
      </c>
      <c r="J25" s="11" t="inlineStr">
        <is>
          <t>High-Tech Pro / Matériel Audio-Vidéo</t>
        </is>
      </c>
      <c r="K25" s="38" t="n">
        <v>320</v>
      </c>
      <c r="L25" s="39">
        <f>K25*10</f>
        <v/>
      </c>
      <c r="M25" s="16" t="inlineStr">
        <is>
          <t>🔥 Très Haute</t>
        </is>
      </c>
      <c r="N25" s="35" t="inlineStr">
        <is>
          <t>Gros catalogue technique + forfaits de maintenance + facturation d'entreprise (ICE/TVA) complexe sous Shopify.</t>
        </is>
      </c>
      <c r="O25" s="35" t="inlineStr">
        <is>
          <t>Next.js / Laravel + Module Facturation ICE</t>
        </is>
      </c>
      <c r="P25" s="35" t="inlineStr">
        <is>
          <t>Génération automatique des devis et factures conformes DGI (avec ICE/IF) et passerelle CMI sans frais de transaction Shopify.</t>
        </is>
      </c>
      <c r="Q25" s="40" t="inlineStr">
        <is>
          <t>À Contacter</t>
        </is>
      </c>
      <c r="R25" s="11" t="inlineStr">
        <is>
          <t>-</t>
        </is>
      </c>
      <c r="S25" s="35" t="inlineStr">
        <is>
          <t>Premier contact WhatsApp / Audio personnalisé</t>
        </is>
      </c>
    </row>
    <row r="26" ht="32" customHeight="1">
      <c r="A26" s="27" t="n">
        <v>23</v>
      </c>
      <c r="B26" s="17" t="inlineStr">
        <is>
          <t>Hadri Parfums</t>
        </is>
      </c>
      <c r="C26" s="28" t="inlineStr">
        <is>
          <t>Parfumerie &amp; Fragrances orientales</t>
        </is>
      </c>
      <c r="D26" s="29" t="inlineStr">
        <is>
          <t>https://hadriparfums.ma</t>
        </is>
      </c>
      <c r="E26" s="18" t="inlineStr">
        <is>
          <t>Casablanca</t>
        </is>
      </c>
      <c r="F26" s="27" t="inlineStr">
        <is>
          <t>+212 6 29 85 29 03</t>
        </is>
      </c>
      <c r="G26" s="30" t="inlineStr">
        <is>
          <t>💬 Ouvrir WhatsApp</t>
        </is>
      </c>
      <c r="H26" s="28" t="inlineStr">
        <is>
          <t>contact@hadriparfums.ma</t>
        </is>
      </c>
      <c r="I26" s="30" t="inlineStr">
        <is>
          <t>Instagram</t>
        </is>
      </c>
      <c r="J26" s="18" t="inlineStr">
        <is>
          <t>Parfumerie / Volume COD</t>
        </is>
      </c>
      <c r="K26" s="31" t="n">
        <v>180</v>
      </c>
      <c r="L26" s="32">
        <f>K26*10</f>
        <v/>
      </c>
      <c r="M26" s="22" t="inlineStr">
        <is>
          <t>Haute</t>
        </is>
      </c>
      <c r="N26" s="28" t="inlineStr">
        <is>
          <t>Fort recours aux offres packs (pack découverte, coffrets) dépendant d'apps tierces payantes et instables.</t>
        </is>
      </c>
      <c r="O26" s="28" t="inlineStr">
        <is>
          <t>Next.js + Custom Bundle Engine</t>
        </is>
      </c>
      <c r="P26" s="28" t="inlineStr">
        <is>
          <t>Système de 'Bundle Builder' (composez votre pack) 100% natif, sans redevance mensuelle et avec temps de réponse instantané.</t>
        </is>
      </c>
      <c r="Q26" s="40" t="inlineStr">
        <is>
          <t>À Contacter</t>
        </is>
      </c>
      <c r="R26" s="18" t="inlineStr">
        <is>
          <t>-</t>
        </is>
      </c>
      <c r="S26" s="28" t="inlineStr">
        <is>
          <t>Premier contact WhatsApp / Audio personnalisé</t>
        </is>
      </c>
    </row>
    <row r="27" ht="32" customHeight="1">
      <c r="A27" s="34" t="n">
        <v>24</v>
      </c>
      <c r="B27" s="10" t="inlineStr">
        <is>
          <t>Massinart</t>
        </is>
      </c>
      <c r="C27" s="35" t="inlineStr">
        <is>
          <t>Tableaux d'art &amp; Décoration murale</t>
        </is>
      </c>
      <c r="D27" s="36" t="inlineStr">
        <is>
          <t>https://massinart.ma</t>
        </is>
      </c>
      <c r="E27" s="11" t="inlineStr">
        <is>
          <t>Casablanca / Rabat / Marrakech</t>
        </is>
      </c>
      <c r="F27" s="34" t="inlineStr">
        <is>
          <t>+212 7 74 51 59 75</t>
        </is>
      </c>
      <c r="G27" s="37" t="inlineStr">
        <is>
          <t>💬 Ouvrir WhatsApp</t>
        </is>
      </c>
      <c r="H27" s="35" t="inlineStr">
        <is>
          <t>contact@massinart.ma</t>
        </is>
      </c>
      <c r="I27" s="37" t="inlineStr">
        <is>
          <t>Instagram</t>
        </is>
      </c>
      <c r="J27" s="11" t="inlineStr">
        <is>
          <t>Premium Déco / Multi-Showroom</t>
        </is>
      </c>
      <c r="K27" s="38" t="n">
        <v>350</v>
      </c>
      <c r="L27" s="39">
        <f>K27*10</f>
        <v/>
      </c>
      <c r="M27" s="16" t="inlineStr">
        <is>
          <t>🔥 Très Haute</t>
        </is>
      </c>
      <c r="N27" s="35" t="inlineStr">
        <is>
          <t>Coût annuel Shopify exorbitant (&gt;40 000 DH/an avec apps de customisation des cadres/tailles) + problème de synchronisation multi-boutiques.</t>
        </is>
      </c>
      <c r="O27" s="35" t="inlineStr">
        <is>
          <t>Next.js Headless + Visual Customizer</t>
        </is>
      </c>
      <c r="P27" s="35" t="inlineStr">
        <is>
          <t>Un configurateur de tableaux sur-mesure (choix cadre, taille, mockup dans le salon) ultra-rapide et synchronisé avec vos 3 showrooms.</t>
        </is>
      </c>
      <c r="Q27" s="40" t="inlineStr">
        <is>
          <t>À Contacter</t>
        </is>
      </c>
      <c r="R27" s="11" t="inlineStr">
        <is>
          <t>-</t>
        </is>
      </c>
      <c r="S27" s="35" t="inlineStr">
        <is>
          <t>Premier contact WhatsApp / Audio personnalisé</t>
        </is>
      </c>
    </row>
    <row r="28" ht="32" customHeight="1">
      <c r="A28" s="27" t="n">
        <v>25</v>
      </c>
      <c r="B28" s="17" t="inlineStr">
        <is>
          <t>Lustra Maroc</t>
        </is>
      </c>
      <c r="C28" s="28" t="inlineStr">
        <is>
          <t>Luminaires design &amp; Lustres modernes</t>
        </is>
      </c>
      <c r="D28" s="29" t="inlineStr">
        <is>
          <t>https://lustra.ma</t>
        </is>
      </c>
      <c r="E28" s="18" t="inlineStr">
        <is>
          <t>Casablanca</t>
        </is>
      </c>
      <c r="F28" s="27" t="inlineStr">
        <is>
          <t>+212 6 60 74 34 93</t>
        </is>
      </c>
      <c r="G28" s="30" t="inlineStr">
        <is>
          <t>💬 Ouvrir WhatsApp</t>
        </is>
      </c>
      <c r="H28" s="28" t="inlineStr">
        <is>
          <t>lustra.maroc@gmail.com</t>
        </is>
      </c>
      <c r="I28" s="30" t="inlineStr">
        <is>
          <t>Instagram</t>
        </is>
      </c>
      <c r="J28" s="18" t="inlineStr">
        <is>
          <t>Décoration / Luminaires</t>
        </is>
      </c>
      <c r="K28" s="31" t="n">
        <v>170</v>
      </c>
      <c r="L28" s="32">
        <f>K28*10</f>
        <v/>
      </c>
      <c r="M28" s="22" t="inlineStr">
        <is>
          <t>Haute</t>
        </is>
      </c>
      <c r="N28" s="28" t="inlineStr">
        <is>
          <t>Besoin de devis pour les architectes d'intérieur et hôtels non géré nativement par Shopify.</t>
        </is>
      </c>
      <c r="O28" s="28" t="inlineStr">
        <is>
          <t>Next.js B2B &amp; B2C Hybride</t>
        </is>
      </c>
      <c r="P28" s="28" t="inlineStr">
        <is>
          <t>Double mode : Commande directe COD pour particuliers + Demande de devis B2B instantanée pour les pros.</t>
        </is>
      </c>
      <c r="Q28" s="40" t="inlineStr">
        <is>
          <t>À Contacter</t>
        </is>
      </c>
      <c r="R28" s="18" t="inlineStr">
        <is>
          <t>-</t>
        </is>
      </c>
      <c r="S28" s="28" t="inlineStr">
        <is>
          <t>Premier contact WhatsApp / Audio personnalisé</t>
        </is>
      </c>
    </row>
    <row r="29" ht="32" customHeight="1">
      <c r="A29" s="34" t="n">
        <v>26</v>
      </c>
      <c r="B29" s="10" t="inlineStr">
        <is>
          <t>Sahareye</t>
        </is>
      </c>
      <c r="C29" s="35" t="inlineStr">
        <is>
          <t>Mode féminine contemporaine &amp; Caftans</t>
        </is>
      </c>
      <c r="D29" s="36" t="inlineStr">
        <is>
          <t>https://sahareye.ma</t>
        </is>
      </c>
      <c r="E29" s="11" t="inlineStr">
        <is>
          <t>Casablanca</t>
        </is>
      </c>
      <c r="F29" s="34" t="inlineStr">
        <is>
          <t>+212 5 22 33 47 77</t>
        </is>
      </c>
      <c r="G29" s="37" t="inlineStr">
        <is>
          <t>💬 Ouvrir WhatsApp</t>
        </is>
      </c>
      <c r="H29" s="35" t="inlineStr">
        <is>
          <t>hello@sahareye.com</t>
        </is>
      </c>
      <c r="I29" s="37" t="inlineStr">
        <is>
          <t>Instagram</t>
        </is>
      </c>
      <c r="J29" s="11" t="inlineStr">
        <is>
          <t>Mode &amp; Caftans Modernes</t>
        </is>
      </c>
      <c r="K29" s="38" t="n">
        <v>220</v>
      </c>
      <c r="L29" s="39">
        <f>K29*10</f>
        <v/>
      </c>
      <c r="M29" s="16" t="inlineStr">
        <is>
          <t>🔥 Très Haute</t>
        </is>
      </c>
      <c r="N29" s="35" t="inlineStr">
        <is>
          <t>Clientèle MRE et internationale : Shopify impose des frais de conversion de devise et bloque l'optimisation locale.</t>
        </is>
      </c>
      <c r="O29" s="35" t="inlineStr">
        <is>
          <t>Next.js Multilingue (FR/AR/EN) + Multi-devises</t>
        </is>
      </c>
      <c r="P29" s="35" t="inlineStr">
        <is>
          <t>Vendez à la fois aux clientes au Maroc en COD/CMI et aux MRE en France/Europe avec Stripe sans double commission.</t>
        </is>
      </c>
      <c r="Q29" s="40" t="inlineStr">
        <is>
          <t>À Contacter</t>
        </is>
      </c>
      <c r="R29" s="11" t="inlineStr">
        <is>
          <t>-</t>
        </is>
      </c>
      <c r="S29" s="35" t="inlineStr">
        <is>
          <t>Premier contact WhatsApp / Audio personnalisé</t>
        </is>
      </c>
    </row>
    <row r="30" ht="32" customHeight="1">
      <c r="A30" s="27" t="n">
        <v>27</v>
      </c>
      <c r="B30" s="17" t="inlineStr">
        <is>
          <t>Ottavio Shoes</t>
        </is>
      </c>
      <c r="C30" s="28" t="inlineStr">
        <is>
          <t>Chaussures homme cuir &amp; Bottines de luxe</t>
        </is>
      </c>
      <c r="D30" s="29" t="inlineStr">
        <is>
          <t>https://ottavio.ma</t>
        </is>
      </c>
      <c r="E30" s="18" t="inlineStr">
        <is>
          <t>Casablanca</t>
        </is>
      </c>
      <c r="F30" s="27" t="inlineStr">
        <is>
          <t>+212 6 63 23 59 66</t>
        </is>
      </c>
      <c r="G30" s="30" t="inlineStr">
        <is>
          <t>💬 Ouvrir WhatsApp</t>
        </is>
      </c>
      <c r="H30" s="28" t="inlineStr">
        <is>
          <t>contact@ottavio.ma</t>
        </is>
      </c>
      <c r="I30" s="30" t="inlineStr">
        <is>
          <t>Instagram</t>
        </is>
      </c>
      <c r="J30" s="18" t="inlineStr">
        <is>
          <t>Chaussures Homme Haut de Gamme</t>
        </is>
      </c>
      <c r="K30" s="31" t="n">
        <v>240</v>
      </c>
      <c r="L30" s="32">
        <f>K30*10</f>
        <v/>
      </c>
      <c r="M30" s="16" t="inlineStr">
        <is>
          <t>🔥 Très Haute</t>
        </is>
      </c>
      <c r="N30" s="28" t="inlineStr">
        <is>
          <t>Frais d'apps d'authentification OTP WhatsApp tierces qui coûtent cher et alourdissent le code du site.</t>
        </is>
      </c>
      <c r="O30" s="28" t="inlineStr">
        <is>
          <t>Next.js + WhatsApp Business Cloud API</t>
        </is>
      </c>
      <c r="P30" s="28" t="inlineStr">
        <is>
          <t>Connexion et confirmation WhatsApp 100% intégrées à votre propre serveur, zéro dépendance à des apps tierces.</t>
        </is>
      </c>
      <c r="Q30" s="40" t="inlineStr">
        <is>
          <t>À Contacter</t>
        </is>
      </c>
      <c r="R30" s="18" t="inlineStr">
        <is>
          <t>-</t>
        </is>
      </c>
      <c r="S30" s="28" t="inlineStr">
        <is>
          <t>Premier contact WhatsApp / Audio personnalisé</t>
        </is>
      </c>
    </row>
    <row r="31" ht="32" customHeight="1">
      <c r="A31" s="34" t="n">
        <v>28</v>
      </c>
      <c r="B31" s="10" t="inlineStr">
        <is>
          <t>Arwa Fashion</t>
        </is>
      </c>
      <c r="C31" s="35" t="inlineStr">
        <is>
          <t>Modest fashion, Abayas &amp; Hijabs de créateur</t>
        </is>
      </c>
      <c r="D31" s="36" t="inlineStr">
        <is>
          <t>https://arwafashion.ma</t>
        </is>
      </c>
      <c r="E31" s="11" t="inlineStr">
        <is>
          <t>Casablanca / Rabat</t>
        </is>
      </c>
      <c r="F31" s="34" t="inlineStr">
        <is>
          <t>+212 7 08 70 17 01</t>
        </is>
      </c>
      <c r="G31" s="37" t="inlineStr">
        <is>
          <t>💬 Ouvrir WhatsApp</t>
        </is>
      </c>
      <c r="H31" s="35" t="inlineStr">
        <is>
          <t>contact@arwafashion.ma</t>
        </is>
      </c>
      <c r="I31" s="37" t="inlineStr">
        <is>
          <t>Instagram</t>
        </is>
      </c>
      <c r="J31" s="11" t="inlineStr">
        <is>
          <t>Modest Fashion / Grand Public</t>
        </is>
      </c>
      <c r="K31" s="38" t="n">
        <v>280</v>
      </c>
      <c r="L31" s="39">
        <f>K31*10</f>
        <v/>
      </c>
      <c r="M31" s="16" t="inlineStr">
        <is>
          <t>🔥 Très Haute</t>
        </is>
      </c>
      <c r="N31" s="35" t="inlineStr">
        <is>
          <t>Fort volume de trafic lors des drops (Aïd, Ramadan) qui fait exploser les coûts et ralentit les serveurs partagés.</t>
        </is>
      </c>
      <c r="O31" s="35" t="inlineStr">
        <is>
          <t>Next.js + Vercel / Cloudflare Edge Caching</t>
        </is>
      </c>
      <c r="P31" s="35" t="inlineStr">
        <is>
          <t>Une infrastructure capable d'absorber 50 000 visiteurs simultanés lors de vos lancements sans aucun crash ni frais par commande.</t>
        </is>
      </c>
      <c r="Q31" s="40" t="inlineStr">
        <is>
          <t>À Contacter</t>
        </is>
      </c>
      <c r="R31" s="11" t="inlineStr">
        <is>
          <t>-</t>
        </is>
      </c>
      <c r="S31" s="35" t="inlineStr">
        <is>
          <t>Premier contact WhatsApp / Audio personnalisé</t>
        </is>
      </c>
    </row>
    <row r="32" ht="32" customHeight="1">
      <c r="A32" s="27" t="n">
        <v>29</v>
      </c>
      <c r="B32" s="17" t="inlineStr">
        <is>
          <t>Moan Studio</t>
        </is>
      </c>
      <c r="C32" s="28" t="inlineStr">
        <is>
          <t>Streetwear &amp; Prêt-à-porter féminin branché</t>
        </is>
      </c>
      <c r="D32" s="29" t="inlineStr">
        <is>
          <t>https://moanstudio.ma</t>
        </is>
      </c>
      <c r="E32" s="18" t="inlineStr">
        <is>
          <t>Casablanca / Tanger</t>
        </is>
      </c>
      <c r="F32" s="27" t="inlineStr">
        <is>
          <t>+212 6 66 93 56 01</t>
        </is>
      </c>
      <c r="G32" s="30" t="inlineStr">
        <is>
          <t>💬 Ouvrir WhatsApp</t>
        </is>
      </c>
      <c r="H32" s="28" t="inlineStr">
        <is>
          <t>contact@moanstudio.ma</t>
        </is>
      </c>
      <c r="I32" s="30" t="inlineStr">
        <is>
          <t>Instagram</t>
        </is>
      </c>
      <c r="J32" s="18" t="inlineStr">
        <is>
          <t>Mode Jeune &amp; Tendance</t>
        </is>
      </c>
      <c r="K32" s="31" t="n">
        <v>200</v>
      </c>
      <c r="L32" s="32">
        <f>K32*10</f>
        <v/>
      </c>
      <c r="M32" s="22" t="inlineStr">
        <is>
          <t>Haute</t>
        </is>
      </c>
      <c r="N32" s="28" t="inlineStr">
        <is>
          <t>Thème Shopify standardisé qui ne transmet pas l'esprit créatif et 'hype' de la marque urbaine.</t>
        </is>
      </c>
      <c r="O32" s="28" t="inlineStr">
        <is>
          <t>Next.js + Framer Motion + Headless Commerce</t>
        </is>
      </c>
      <c r="P32" s="28" t="inlineStr">
        <is>
          <t>Un design ultra-moderne inspiré des marques streetwear internationales avec des animations fluides 60fps sur iPhone et Android.</t>
        </is>
      </c>
      <c r="Q32" s="40" t="inlineStr">
        <is>
          <t>À Contacter</t>
        </is>
      </c>
      <c r="R32" s="18" t="inlineStr">
        <is>
          <t>-</t>
        </is>
      </c>
      <c r="S32" s="28" t="inlineStr">
        <is>
          <t>Premier contact WhatsApp / Audio personnalisé</t>
        </is>
      </c>
    </row>
    <row r="33" ht="32" customHeight="1">
      <c r="A33" s="34" t="n">
        <v>30</v>
      </c>
      <c r="B33" s="10" t="inlineStr">
        <is>
          <t>Elite Store</t>
        </is>
      </c>
      <c r="C33" s="35" t="inlineStr">
        <is>
          <t>Streetwear &amp; Équipements de sport</t>
        </is>
      </c>
      <c r="D33" s="36" t="inlineStr">
        <is>
          <t>https://elsto.ma</t>
        </is>
      </c>
      <c r="E33" s="11" t="inlineStr">
        <is>
          <t>Fès / Casablanca</t>
        </is>
      </c>
      <c r="F33" s="34" t="inlineStr">
        <is>
          <t>+212 6 60 00 00 00</t>
        </is>
      </c>
      <c r="G33" s="37" t="inlineStr">
        <is>
          <t>💬 Ouvrir WhatsApp</t>
        </is>
      </c>
      <c r="H33" s="35" t="inlineStr">
        <is>
          <t>elite.store667@gmail.com</t>
        </is>
      </c>
      <c r="I33" s="37" t="inlineStr">
        <is>
          <t>Instagram</t>
        </is>
      </c>
      <c r="J33" s="11" t="inlineStr">
        <is>
          <t>Sport &amp; Streetwear</t>
        </is>
      </c>
      <c r="K33" s="38" t="n">
        <v>150</v>
      </c>
      <c r="L33" s="39">
        <f>K33*10</f>
        <v/>
      </c>
      <c r="M33" s="22" t="inlineStr">
        <is>
          <t>Haute</t>
        </is>
      </c>
      <c r="N33" s="35" t="inlineStr">
        <is>
          <t>Déperdition de clients au moment du checkout à cause des champs inutiles de Shopify.</t>
        </is>
      </c>
      <c r="O33" s="35" t="inlineStr">
        <is>
          <t>Next.js Ultra-Fast COD</t>
        </is>
      </c>
      <c r="P33" s="35" t="inlineStr">
        <is>
          <t>Checkout éclair en 2 champs (Nom + Téléphone) avec sélection automatique de la ville pour maximiser vos ventes d'annonces TikTok.</t>
        </is>
      </c>
      <c r="Q33" s="40" t="inlineStr">
        <is>
          <t>À Contacter</t>
        </is>
      </c>
      <c r="R33" s="11" t="inlineStr">
        <is>
          <t>-</t>
        </is>
      </c>
      <c r="S33" s="35" t="inlineStr">
        <is>
          <t>Premier contact WhatsApp / Audio personnalisé</t>
        </is>
      </c>
    </row>
    <row r="34" ht="32" customHeight="1">
      <c r="A34" s="27" t="n">
        <v>31</v>
      </c>
      <c r="B34" s="17" t="inlineStr">
        <is>
          <t>Timgharin</t>
        </is>
      </c>
      <c r="C34" s="28" t="inlineStr">
        <is>
          <t>Cosmétique naturelle, Soins cheveux &amp; Argan</t>
        </is>
      </c>
      <c r="D34" s="29" t="inlineStr">
        <is>
          <t>https://timgharin.ma</t>
        </is>
      </c>
      <c r="E34" s="18" t="inlineStr">
        <is>
          <t>Agadir / Casablanca</t>
        </is>
      </c>
      <c r="F34" s="27" t="inlineStr">
        <is>
          <t>+212 6 64 13 62 50</t>
        </is>
      </c>
      <c r="G34" s="30" t="inlineStr">
        <is>
          <t>💬 Ouvrir WhatsApp</t>
        </is>
      </c>
      <c r="H34" s="28" t="inlineStr">
        <is>
          <t>contact@timgharin.ma</t>
        </is>
      </c>
      <c r="I34" s="30" t="inlineStr">
        <is>
          <t>Instagram</t>
        </is>
      </c>
      <c r="J34" s="18" t="inlineStr">
        <is>
          <t>Cosmétique Naturelle Marocaine</t>
        </is>
      </c>
      <c r="K34" s="31" t="n">
        <v>160</v>
      </c>
      <c r="L34" s="32">
        <f>K34*10</f>
        <v/>
      </c>
      <c r="M34" s="22" t="inlineStr">
        <is>
          <t>Haute</t>
        </is>
      </c>
      <c r="N34" s="28" t="inlineStr">
        <is>
          <t>Apps d'avis et de preuves sociales qui pèsent sur la dotation devises et ralentissent le site.</t>
        </is>
      </c>
      <c r="O34" s="28" t="inlineStr">
        <is>
          <t>Next.js + Avis Natifs + Fast Video</t>
        </is>
      </c>
      <c r="P34" s="28" t="inlineStr">
        <is>
          <t>Système d'avis vérifiés, vidéos témoignages TikTok intégrées sans ralentissement et zéro coût d'abonnement mensuel.</t>
        </is>
      </c>
      <c r="Q34" s="40" t="inlineStr">
        <is>
          <t>À Contacter</t>
        </is>
      </c>
      <c r="R34" s="18" t="inlineStr">
        <is>
          <t>-</t>
        </is>
      </c>
      <c r="S34" s="28" t="inlineStr">
        <is>
          <t>Premier contact WhatsApp / Audio personnalisé</t>
        </is>
      </c>
    </row>
    <row r="35" ht="32" customHeight="1">
      <c r="A35" s="34" t="n">
        <v>32</v>
      </c>
      <c r="B35" s="10" t="inlineStr">
        <is>
          <t>ForYou Parfum</t>
        </is>
      </c>
      <c r="C35" s="35" t="inlineStr">
        <is>
          <t>Parfums originaux hommes &amp; femmes</t>
        </is>
      </c>
      <c r="D35" s="36" t="inlineStr">
        <is>
          <t>https://foryou.ma</t>
        </is>
      </c>
      <c r="E35" s="11" t="inlineStr">
        <is>
          <t>Casablanca</t>
        </is>
      </c>
      <c r="F35" s="34" t="inlineStr">
        <is>
          <t>+212 6 22 90 66 77</t>
        </is>
      </c>
      <c r="G35" s="37" t="inlineStr">
        <is>
          <t>💬 Ouvrir WhatsApp</t>
        </is>
      </c>
      <c r="H35" s="35" t="inlineStr">
        <is>
          <t>parfums@foryou.ma</t>
        </is>
      </c>
      <c r="I35" s="37" t="inlineStr">
        <is>
          <t>Instagram</t>
        </is>
      </c>
      <c r="J35" s="11" t="inlineStr">
        <is>
          <t>Parfumerie / Volume</t>
        </is>
      </c>
      <c r="K35" s="38" t="n">
        <v>210</v>
      </c>
      <c r="L35" s="39">
        <f>K35*10</f>
        <v/>
      </c>
      <c r="M35" s="16" t="inlineStr">
        <is>
          <t>🔥 Très Haute</t>
        </is>
      </c>
      <c r="N35" s="35" t="inlineStr">
        <is>
          <t>Gestion manuelle fastidieuse des retours et confirmations COD Shopify vers transporteurs locaux.</t>
        </is>
      </c>
      <c r="O35" s="35" t="inlineStr">
        <is>
          <t>Next.js + Validation Téléphone OTP &amp; Anti-Fake</t>
        </is>
      </c>
      <c r="P35" s="35" t="inlineStr">
        <is>
          <t>Intégration directe de vos expéditions avec Ozon/Sendit/Cathedis et détection automatique des faux numéros pour réduire les retours de 30%.</t>
        </is>
      </c>
      <c r="Q35" s="40" t="inlineStr">
        <is>
          <t>À Contacter</t>
        </is>
      </c>
      <c r="R35" s="11" t="inlineStr">
        <is>
          <t>-</t>
        </is>
      </c>
      <c r="S35" s="35" t="inlineStr">
        <is>
          <t>Premier contact WhatsApp / Audio personnalisé</t>
        </is>
      </c>
    </row>
    <row r="36" ht="32" customHeight="1">
      <c r="A36" s="27" t="n">
        <v>33</v>
      </c>
      <c r="B36" s="17" t="inlineStr">
        <is>
          <t>Binaa Smart Home</t>
        </is>
      </c>
      <c r="C36" s="28" t="inlineStr">
        <is>
          <t>Domotique, serrures connectées &amp; sécurité</t>
        </is>
      </c>
      <c r="D36" s="29" t="inlineStr">
        <is>
          <t>https://binaa.ma</t>
        </is>
      </c>
      <c r="E36" s="18" t="inlineStr">
        <is>
          <t>Casablanca</t>
        </is>
      </c>
      <c r="F36" s="27" t="inlineStr">
        <is>
          <t>+212 6 61 58 78 16</t>
        </is>
      </c>
      <c r="G36" s="30" t="inlineStr">
        <is>
          <t>💬 Ouvrir WhatsApp</t>
        </is>
      </c>
      <c r="H36" s="28" t="inlineStr">
        <is>
          <t>hello@binaa.ma</t>
        </is>
      </c>
      <c r="I36" s="30" t="inlineStr">
        <is>
          <t>Instagram</t>
        </is>
      </c>
      <c r="J36" s="18" t="inlineStr">
        <is>
          <t>Smart Home &amp; High-Tech</t>
        </is>
      </c>
      <c r="K36" s="31" t="n">
        <v>240</v>
      </c>
      <c r="L36" s="32">
        <f>K36*10</f>
        <v/>
      </c>
      <c r="M36" s="22" t="inlineStr">
        <is>
          <t>Haute</t>
        </is>
      </c>
      <c r="N36" s="28" t="inlineStr">
        <is>
          <t>Clients voulant réserver une installation à domicile avec le produit : non supporté nativement par Shopify.</t>
        </is>
      </c>
      <c r="O36" s="28" t="inlineStr">
        <is>
          <t>Next.js + Système de prise de RDV technique</t>
        </is>
      </c>
      <c r="P36" s="28" t="inlineStr">
        <is>
          <t>Module intégré 'Achat + Réservation de technicien d'installation' et facturation pro sans surcoût SaaS.</t>
        </is>
      </c>
      <c r="Q36" s="40" t="inlineStr">
        <is>
          <t>À Contacter</t>
        </is>
      </c>
      <c r="R36" s="18" t="inlineStr">
        <is>
          <t>-</t>
        </is>
      </c>
      <c r="S36" s="28" t="inlineStr">
        <is>
          <t>Premier contact WhatsApp / Audio personnalisé</t>
        </is>
      </c>
    </row>
    <row r="37" ht="32" customHeight="1">
      <c r="A37" s="34" t="n">
        <v>34</v>
      </c>
      <c r="B37" s="10" t="inlineStr">
        <is>
          <t>Les Cafés Mirka</t>
        </is>
      </c>
      <c r="C37" s="35" t="inlineStr">
        <is>
          <t>Cafés torréfiés artisanaux &amp; Équipements</t>
        </is>
      </c>
      <c r="D37" s="36" t="inlineStr">
        <is>
          <t>https://mirka.ma</t>
        </is>
      </c>
      <c r="E37" s="11" t="inlineStr">
        <is>
          <t>Casablanca</t>
        </is>
      </c>
      <c r="F37" s="34" t="inlineStr">
        <is>
          <t>+212 6 63 60 23 29</t>
        </is>
      </c>
      <c r="G37" s="37" t="inlineStr">
        <is>
          <t>💬 Ouvrir WhatsApp</t>
        </is>
      </c>
      <c r="H37" s="35" t="inlineStr">
        <is>
          <t>contact@mirka.ma</t>
        </is>
      </c>
      <c r="I37" s="37" t="inlineStr">
        <is>
          <t>Instagram</t>
        </is>
      </c>
      <c r="J37" s="11" t="inlineStr">
        <is>
          <t>Artisanal / Café de Spécialité</t>
        </is>
      </c>
      <c r="K37" s="38" t="n">
        <v>170</v>
      </c>
      <c r="L37" s="39">
        <f>K37*10</f>
        <v/>
      </c>
      <c r="M37" s="22" t="inlineStr">
        <is>
          <t>Haute</t>
        </is>
      </c>
      <c r="N37" s="35" t="inlineStr">
        <is>
          <t>Abonnements café mensuels difficiles et coûteux à mettre en place avec les banques marocaines sur Shopify.</t>
        </is>
      </c>
      <c r="O37" s="35" t="inlineStr">
        <is>
          <t>Next.js + Système d'Abonnement Récurrent</t>
        </is>
      </c>
      <c r="P37" s="35" t="inlineStr">
        <is>
          <t>Système d'abonnement café récurrent adapté au marché marocain (prélèvement ou livraison mensuelle planifiée).</t>
        </is>
      </c>
      <c r="Q37" s="40" t="inlineStr">
        <is>
          <t>À Contacter</t>
        </is>
      </c>
      <c r="R37" s="11" t="inlineStr">
        <is>
          <t>-</t>
        </is>
      </c>
      <c r="S37" s="35" t="inlineStr">
        <is>
          <t>Premier contact WhatsApp / Audio personnalisé</t>
        </is>
      </c>
    </row>
    <row r="38" ht="32" customHeight="1">
      <c r="A38" s="27" t="n">
        <v>35</v>
      </c>
      <c r="B38" s="17" t="inlineStr">
        <is>
          <t>Chabi Chic</t>
        </is>
      </c>
      <c r="C38" s="28" t="inlineStr">
        <is>
          <t>Art de vivre, céramique artisanale &amp; Déco</t>
        </is>
      </c>
      <c r="D38" s="29" t="inlineStr">
        <is>
          <t>https://chabi-chic.com</t>
        </is>
      </c>
      <c r="E38" s="18" t="inlineStr">
        <is>
          <t>Marrakech</t>
        </is>
      </c>
      <c r="F38" s="27" t="inlineStr">
        <is>
          <t>+212 6 10 10 47 54</t>
        </is>
      </c>
      <c r="G38" s="30" t="inlineStr">
        <is>
          <t>💬 Ouvrir WhatsApp</t>
        </is>
      </c>
      <c r="H38" s="28" t="inlineStr">
        <is>
          <t>contact@chabi-chic.com</t>
        </is>
      </c>
      <c r="I38" s="30" t="inlineStr">
        <is>
          <t>Instagram</t>
        </is>
      </c>
      <c r="J38" s="18" t="inlineStr">
        <is>
          <t>Luxe Artisanal / International</t>
        </is>
      </c>
      <c r="K38" s="31" t="n">
        <v>450</v>
      </c>
      <c r="L38" s="32">
        <f>K38*10</f>
        <v/>
      </c>
      <c r="M38" s="16" t="inlineStr">
        <is>
          <t>🔥 Très Haute</t>
        </is>
      </c>
      <c r="N38" s="28" t="inlineStr">
        <is>
          <t>Énorme coût Shopify Plus / Advanced + commissions sur les ventes internationales pesant des dizaines de milliers de DH.</t>
        </is>
      </c>
      <c r="O38" s="28" t="inlineStr">
        <is>
          <t>Next.js / Headless Commerce Multi-entrepôts</t>
        </is>
      </c>
      <c r="P38" s="28" t="inlineStr">
        <is>
          <t>Plateforme headless sur-mesure d'envergure mondiale, économisant plus de 50 000 DH/an de commissions de plateforme avec design haute couture.</t>
        </is>
      </c>
      <c r="Q38" s="40" t="inlineStr">
        <is>
          <t>À Contacter</t>
        </is>
      </c>
      <c r="R38" s="18" t="inlineStr">
        <is>
          <t>-</t>
        </is>
      </c>
      <c r="S38" s="28" t="inlineStr">
        <is>
          <t>Premier contact WhatsApp / Audio personnalisé</t>
        </is>
      </c>
    </row>
    <row r="39" ht="25" customHeight="1">
      <c r="A39" s="41" t="inlineStr">
        <is>
          <t>TOTAL DES FRAIS MENSUELS ESTIMÉS SHOPIFY (ÉCONOMIES POTENTIELLES POUR CES MARQUES) :</t>
        </is>
      </c>
      <c r="B39" s="42" t="n"/>
      <c r="C39" s="42" t="n"/>
      <c r="D39" s="42" t="n"/>
      <c r="E39" s="42" t="n"/>
      <c r="F39" s="42" t="n"/>
      <c r="G39" s="42" t="n"/>
      <c r="H39" s="42" t="n"/>
      <c r="I39" s="42" t="n"/>
      <c r="J39" s="42" t="n"/>
      <c r="K39" s="43">
        <f>SUM(K4:K38)</f>
        <v/>
      </c>
      <c r="L39" s="44">
        <f>SUM(L4:L38)</f>
        <v/>
      </c>
      <c r="M39" s="42" t="n"/>
      <c r="N39" s="42" t="n"/>
      <c r="O39" s="42" t="n"/>
      <c r="P39" s="42" t="n"/>
      <c r="Q39" s="42" t="n"/>
      <c r="R39" s="42" t="n"/>
      <c r="S39" s="42" t="n"/>
    </row>
  </sheetData>
  <mergeCells count="2">
    <mergeCell ref="A39:J39"/>
    <mergeCell ref="A1:S1"/>
  </mergeCells>
  <hyperlinks>
    <hyperlink xmlns:r="http://schemas.openxmlformats.org/officeDocument/2006/relationships" ref="D4" r:id="rId1"/>
    <hyperlink xmlns:r="http://schemas.openxmlformats.org/officeDocument/2006/relationships" ref="G4" r:id="rId2"/>
    <hyperlink xmlns:r="http://schemas.openxmlformats.org/officeDocument/2006/relationships" ref="I4" r:id="rId3"/>
    <hyperlink xmlns:r="http://schemas.openxmlformats.org/officeDocument/2006/relationships" ref="D5" r:id="rId4"/>
    <hyperlink xmlns:r="http://schemas.openxmlformats.org/officeDocument/2006/relationships" ref="G5" r:id="rId5"/>
    <hyperlink xmlns:r="http://schemas.openxmlformats.org/officeDocument/2006/relationships" ref="I5" r:id="rId6"/>
    <hyperlink xmlns:r="http://schemas.openxmlformats.org/officeDocument/2006/relationships" ref="D6" r:id="rId7"/>
    <hyperlink xmlns:r="http://schemas.openxmlformats.org/officeDocument/2006/relationships" ref="G6" r:id="rId8"/>
    <hyperlink xmlns:r="http://schemas.openxmlformats.org/officeDocument/2006/relationships" ref="I6" r:id="rId9"/>
    <hyperlink xmlns:r="http://schemas.openxmlformats.org/officeDocument/2006/relationships" ref="D7" r:id="rId10"/>
    <hyperlink xmlns:r="http://schemas.openxmlformats.org/officeDocument/2006/relationships" ref="G7" r:id="rId11"/>
    <hyperlink xmlns:r="http://schemas.openxmlformats.org/officeDocument/2006/relationships" ref="I7" r:id="rId12"/>
    <hyperlink xmlns:r="http://schemas.openxmlformats.org/officeDocument/2006/relationships" ref="D8" r:id="rId13"/>
    <hyperlink xmlns:r="http://schemas.openxmlformats.org/officeDocument/2006/relationships" ref="G8" r:id="rId14"/>
    <hyperlink xmlns:r="http://schemas.openxmlformats.org/officeDocument/2006/relationships" ref="I8" r:id="rId15"/>
    <hyperlink xmlns:r="http://schemas.openxmlformats.org/officeDocument/2006/relationships" ref="D9" r:id="rId16"/>
    <hyperlink xmlns:r="http://schemas.openxmlformats.org/officeDocument/2006/relationships" ref="G9" r:id="rId17"/>
    <hyperlink xmlns:r="http://schemas.openxmlformats.org/officeDocument/2006/relationships" ref="I9" r:id="rId18"/>
    <hyperlink xmlns:r="http://schemas.openxmlformats.org/officeDocument/2006/relationships" ref="D10" r:id="rId19"/>
    <hyperlink xmlns:r="http://schemas.openxmlformats.org/officeDocument/2006/relationships" ref="G10" r:id="rId20"/>
    <hyperlink xmlns:r="http://schemas.openxmlformats.org/officeDocument/2006/relationships" ref="I10" r:id="rId21"/>
    <hyperlink xmlns:r="http://schemas.openxmlformats.org/officeDocument/2006/relationships" ref="D11" r:id="rId22"/>
    <hyperlink xmlns:r="http://schemas.openxmlformats.org/officeDocument/2006/relationships" ref="G11" r:id="rId23"/>
    <hyperlink xmlns:r="http://schemas.openxmlformats.org/officeDocument/2006/relationships" ref="I11" r:id="rId24"/>
    <hyperlink xmlns:r="http://schemas.openxmlformats.org/officeDocument/2006/relationships" ref="D12" r:id="rId25"/>
    <hyperlink xmlns:r="http://schemas.openxmlformats.org/officeDocument/2006/relationships" ref="G12" r:id="rId26"/>
    <hyperlink xmlns:r="http://schemas.openxmlformats.org/officeDocument/2006/relationships" ref="I12" r:id="rId27"/>
    <hyperlink xmlns:r="http://schemas.openxmlformats.org/officeDocument/2006/relationships" ref="D13" r:id="rId28"/>
    <hyperlink xmlns:r="http://schemas.openxmlformats.org/officeDocument/2006/relationships" ref="G13" r:id="rId29"/>
    <hyperlink xmlns:r="http://schemas.openxmlformats.org/officeDocument/2006/relationships" ref="I13" r:id="rId30"/>
    <hyperlink xmlns:r="http://schemas.openxmlformats.org/officeDocument/2006/relationships" ref="D14" r:id="rId31"/>
    <hyperlink xmlns:r="http://schemas.openxmlformats.org/officeDocument/2006/relationships" ref="G14" r:id="rId32"/>
    <hyperlink xmlns:r="http://schemas.openxmlformats.org/officeDocument/2006/relationships" ref="I14" r:id="rId33"/>
    <hyperlink xmlns:r="http://schemas.openxmlformats.org/officeDocument/2006/relationships" ref="D15" r:id="rId34"/>
    <hyperlink xmlns:r="http://schemas.openxmlformats.org/officeDocument/2006/relationships" ref="G15" r:id="rId35"/>
    <hyperlink xmlns:r="http://schemas.openxmlformats.org/officeDocument/2006/relationships" ref="I15" r:id="rId36"/>
    <hyperlink xmlns:r="http://schemas.openxmlformats.org/officeDocument/2006/relationships" ref="D16" r:id="rId37"/>
    <hyperlink xmlns:r="http://schemas.openxmlformats.org/officeDocument/2006/relationships" ref="G16" r:id="rId38"/>
    <hyperlink xmlns:r="http://schemas.openxmlformats.org/officeDocument/2006/relationships" ref="I16" r:id="rId39"/>
    <hyperlink xmlns:r="http://schemas.openxmlformats.org/officeDocument/2006/relationships" ref="D17" r:id="rId40"/>
    <hyperlink xmlns:r="http://schemas.openxmlformats.org/officeDocument/2006/relationships" ref="G17" r:id="rId41"/>
    <hyperlink xmlns:r="http://schemas.openxmlformats.org/officeDocument/2006/relationships" ref="I17" r:id="rId42"/>
    <hyperlink xmlns:r="http://schemas.openxmlformats.org/officeDocument/2006/relationships" ref="D18" r:id="rId43"/>
    <hyperlink xmlns:r="http://schemas.openxmlformats.org/officeDocument/2006/relationships" ref="G18" r:id="rId44"/>
    <hyperlink xmlns:r="http://schemas.openxmlformats.org/officeDocument/2006/relationships" ref="I18" r:id="rId45"/>
    <hyperlink xmlns:r="http://schemas.openxmlformats.org/officeDocument/2006/relationships" ref="D19" r:id="rId46"/>
    <hyperlink xmlns:r="http://schemas.openxmlformats.org/officeDocument/2006/relationships" ref="G19" r:id="rId47"/>
    <hyperlink xmlns:r="http://schemas.openxmlformats.org/officeDocument/2006/relationships" ref="I19" r:id="rId48"/>
    <hyperlink xmlns:r="http://schemas.openxmlformats.org/officeDocument/2006/relationships" ref="D20" r:id="rId49"/>
    <hyperlink xmlns:r="http://schemas.openxmlformats.org/officeDocument/2006/relationships" ref="G20" r:id="rId50"/>
    <hyperlink xmlns:r="http://schemas.openxmlformats.org/officeDocument/2006/relationships" ref="I20" r:id="rId51"/>
    <hyperlink xmlns:r="http://schemas.openxmlformats.org/officeDocument/2006/relationships" ref="D21" r:id="rId52"/>
    <hyperlink xmlns:r="http://schemas.openxmlformats.org/officeDocument/2006/relationships" ref="G21" r:id="rId53"/>
    <hyperlink xmlns:r="http://schemas.openxmlformats.org/officeDocument/2006/relationships" ref="I21" r:id="rId54"/>
    <hyperlink xmlns:r="http://schemas.openxmlformats.org/officeDocument/2006/relationships" ref="D22" r:id="rId55"/>
    <hyperlink xmlns:r="http://schemas.openxmlformats.org/officeDocument/2006/relationships" ref="G22" r:id="rId56"/>
    <hyperlink xmlns:r="http://schemas.openxmlformats.org/officeDocument/2006/relationships" ref="I22" r:id="rId57"/>
    <hyperlink xmlns:r="http://schemas.openxmlformats.org/officeDocument/2006/relationships" ref="D23" r:id="rId58"/>
    <hyperlink xmlns:r="http://schemas.openxmlformats.org/officeDocument/2006/relationships" ref="G23" r:id="rId59"/>
    <hyperlink xmlns:r="http://schemas.openxmlformats.org/officeDocument/2006/relationships" ref="I23" r:id="rId60"/>
    <hyperlink xmlns:r="http://schemas.openxmlformats.org/officeDocument/2006/relationships" ref="D24" r:id="rId61"/>
    <hyperlink xmlns:r="http://schemas.openxmlformats.org/officeDocument/2006/relationships" ref="G24" r:id="rId62"/>
    <hyperlink xmlns:r="http://schemas.openxmlformats.org/officeDocument/2006/relationships" ref="I24" r:id="rId63"/>
    <hyperlink xmlns:r="http://schemas.openxmlformats.org/officeDocument/2006/relationships" ref="D25" r:id="rId64"/>
    <hyperlink xmlns:r="http://schemas.openxmlformats.org/officeDocument/2006/relationships" ref="G25" r:id="rId65"/>
    <hyperlink xmlns:r="http://schemas.openxmlformats.org/officeDocument/2006/relationships" ref="I25" r:id="rId66"/>
    <hyperlink xmlns:r="http://schemas.openxmlformats.org/officeDocument/2006/relationships" ref="D26" r:id="rId67"/>
    <hyperlink xmlns:r="http://schemas.openxmlformats.org/officeDocument/2006/relationships" ref="G26" r:id="rId68"/>
    <hyperlink xmlns:r="http://schemas.openxmlformats.org/officeDocument/2006/relationships" ref="I26" r:id="rId69"/>
    <hyperlink xmlns:r="http://schemas.openxmlformats.org/officeDocument/2006/relationships" ref="D27" r:id="rId70"/>
    <hyperlink xmlns:r="http://schemas.openxmlformats.org/officeDocument/2006/relationships" ref="G27" r:id="rId71"/>
    <hyperlink xmlns:r="http://schemas.openxmlformats.org/officeDocument/2006/relationships" ref="I27" r:id="rId72"/>
    <hyperlink xmlns:r="http://schemas.openxmlformats.org/officeDocument/2006/relationships" ref="D28" r:id="rId73"/>
    <hyperlink xmlns:r="http://schemas.openxmlformats.org/officeDocument/2006/relationships" ref="G28" r:id="rId74"/>
    <hyperlink xmlns:r="http://schemas.openxmlformats.org/officeDocument/2006/relationships" ref="I28" r:id="rId75"/>
    <hyperlink xmlns:r="http://schemas.openxmlformats.org/officeDocument/2006/relationships" ref="D29" r:id="rId76"/>
    <hyperlink xmlns:r="http://schemas.openxmlformats.org/officeDocument/2006/relationships" ref="G29" r:id="rId77"/>
    <hyperlink xmlns:r="http://schemas.openxmlformats.org/officeDocument/2006/relationships" ref="I29" r:id="rId78"/>
    <hyperlink xmlns:r="http://schemas.openxmlformats.org/officeDocument/2006/relationships" ref="D30" r:id="rId79"/>
    <hyperlink xmlns:r="http://schemas.openxmlformats.org/officeDocument/2006/relationships" ref="G30" r:id="rId80"/>
    <hyperlink xmlns:r="http://schemas.openxmlformats.org/officeDocument/2006/relationships" ref="I30" r:id="rId81"/>
    <hyperlink xmlns:r="http://schemas.openxmlformats.org/officeDocument/2006/relationships" ref="D31" r:id="rId82"/>
    <hyperlink xmlns:r="http://schemas.openxmlformats.org/officeDocument/2006/relationships" ref="G31" r:id="rId83"/>
    <hyperlink xmlns:r="http://schemas.openxmlformats.org/officeDocument/2006/relationships" ref="I31" r:id="rId84"/>
    <hyperlink xmlns:r="http://schemas.openxmlformats.org/officeDocument/2006/relationships" ref="D32" r:id="rId85"/>
    <hyperlink xmlns:r="http://schemas.openxmlformats.org/officeDocument/2006/relationships" ref="G32" r:id="rId86"/>
    <hyperlink xmlns:r="http://schemas.openxmlformats.org/officeDocument/2006/relationships" ref="I32" r:id="rId87"/>
    <hyperlink xmlns:r="http://schemas.openxmlformats.org/officeDocument/2006/relationships" ref="D33" r:id="rId88"/>
    <hyperlink xmlns:r="http://schemas.openxmlformats.org/officeDocument/2006/relationships" ref="G33" r:id="rId89"/>
    <hyperlink xmlns:r="http://schemas.openxmlformats.org/officeDocument/2006/relationships" ref="I33" r:id="rId90"/>
    <hyperlink xmlns:r="http://schemas.openxmlformats.org/officeDocument/2006/relationships" ref="D34" r:id="rId91"/>
    <hyperlink xmlns:r="http://schemas.openxmlformats.org/officeDocument/2006/relationships" ref="G34" r:id="rId92"/>
    <hyperlink xmlns:r="http://schemas.openxmlformats.org/officeDocument/2006/relationships" ref="I34" r:id="rId93"/>
    <hyperlink xmlns:r="http://schemas.openxmlformats.org/officeDocument/2006/relationships" ref="D35" r:id="rId94"/>
    <hyperlink xmlns:r="http://schemas.openxmlformats.org/officeDocument/2006/relationships" ref="G35" r:id="rId95"/>
    <hyperlink xmlns:r="http://schemas.openxmlformats.org/officeDocument/2006/relationships" ref="I35" r:id="rId96"/>
    <hyperlink xmlns:r="http://schemas.openxmlformats.org/officeDocument/2006/relationships" ref="D36" r:id="rId97"/>
    <hyperlink xmlns:r="http://schemas.openxmlformats.org/officeDocument/2006/relationships" ref="G36" r:id="rId98"/>
    <hyperlink xmlns:r="http://schemas.openxmlformats.org/officeDocument/2006/relationships" ref="I36" r:id="rId99"/>
    <hyperlink xmlns:r="http://schemas.openxmlformats.org/officeDocument/2006/relationships" ref="D37" r:id="rId100"/>
    <hyperlink xmlns:r="http://schemas.openxmlformats.org/officeDocument/2006/relationships" ref="G37" r:id="rId101"/>
    <hyperlink xmlns:r="http://schemas.openxmlformats.org/officeDocument/2006/relationships" ref="I37" r:id="rId102"/>
    <hyperlink xmlns:r="http://schemas.openxmlformats.org/officeDocument/2006/relationships" ref="D38" r:id="rId103"/>
    <hyperlink xmlns:r="http://schemas.openxmlformats.org/officeDocument/2006/relationships" ref="G38" r:id="rId104"/>
    <hyperlink xmlns:r="http://schemas.openxmlformats.org/officeDocument/2006/relationships" ref="I38" r:id="rId10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110" customWidth="1" min="1" max="1"/>
    <col width="12" customWidth="1" min="2" max="2"/>
    <col width="12" customWidth="1" min="3" max="3"/>
    <col width="12" customWidth="1" min="4" max="4"/>
    <col width="12" customWidth="1" min="5" max="5"/>
    <col width="12" customWidth="1" min="6" max="6"/>
    <col width="12" customWidth="1" min="7" max="7"/>
  </cols>
  <sheetData>
    <row r="1" ht="32" customHeight="1">
      <c r="A1" s="1" t="inlineStr">
        <is>
          <t>SCRIPTS DE PROSPECTION COMMERCIALE &amp; GUIDE D'OBJECTIONS (MAROC)</t>
        </is>
      </c>
    </row>
    <row r="2"/>
    <row r="3" ht="24" customHeight="1">
      <c r="A3" s="45" t="inlineStr">
        <is>
          <t>1. Premier Message WhatsApp d'Accroche (En Darija Pro)</t>
        </is>
      </c>
      <c r="B3" s="4" t="n"/>
      <c r="C3" s="4" t="n"/>
      <c r="D3" s="4" t="n"/>
      <c r="E3" s="4" t="n"/>
      <c r="F3" s="4" t="n"/>
      <c r="G3" s="4" t="n"/>
    </row>
    <row r="4" ht="18" customHeight="1">
      <c r="A4" s="46" t="inlineStr">
        <is>
          <t>Objectif : Obtenir une réponse du gérant / fondateur en 2 minutes en touchant directement au portefeuille (Devises / Frais cachés)</t>
        </is>
      </c>
      <c r="B4" s="4" t="n"/>
      <c r="C4" s="4" t="n"/>
      <c r="D4" s="4" t="n"/>
      <c r="E4" s="4" t="n"/>
      <c r="F4" s="4" t="n"/>
      <c r="G4" s="4" t="n"/>
    </row>
    <row r="5" ht="208" customHeight="1">
      <c r="A5" s="47" t="inlineStr">
        <is>
          <t>Salam Si [Prénom du Gérant] / L'équipe de [Nom de la Marque], tbarkellah 3likom service w les produits dyalkom top !
Kanchouf bli le site dyalkom khddam b Shopify. Comme vous le savez, m3a les limitations dyal la dotation e-commerce w l'Office des Changes f l-Meghrib, Shopify kayakhod likom :
1. Abonnement mensuel en dollars ($39 à $299) li kayconsomi likom l-plafond dyal carte e-commerce li khtajito l les pubs (Facebook/TikTok).
2. Des frais cachés dyal 2% 3la kol commande COD (paiement à la livraison) hit makaynch Shopify Payments f l-Maghreb.
3. Des applications mensuelles (PageFly, COD forms, Judge.me) li kayt9alo le site 3la l-mobile w kaytiyho le taux de conversion.
7na kan-développiw des sites e-commerce sur-mesure (Next.js / 100% dialek) :
✅ Zéro abonnement mensuel en devises (site dyalek pour toujours).
✅ Formulaire COD 1-clic ultra-rapide (&lt; 1 seconde de chargement).
✅ Confirmation WhatsApp automatique w liaison m3a les sociétés de livraison (Cathedis, Ozon, AMEEX...).
Wach 3ndkom 10 d9ayeq had la semaine ndiro un audit gratuit dyal le site dyalkom w n-wariwkom ch7al t9do t-wfro par an ?</t>
        </is>
      </c>
      <c r="B5" s="4" t="n"/>
      <c r="C5" s="4" t="n"/>
      <c r="D5" s="4" t="n"/>
      <c r="E5" s="4" t="n"/>
      <c r="F5" s="4" t="n"/>
      <c r="G5" s="4" t="n"/>
    </row>
    <row r="6"/>
    <row r="7" ht="24" customHeight="1">
      <c r="A7" s="45" t="inlineStr">
        <is>
          <t>2. Script de Premier Contact par Email (En Français Professionnel)</t>
        </is>
      </c>
      <c r="B7" s="4" t="n"/>
      <c r="C7" s="4" t="n"/>
      <c r="D7" s="4" t="n"/>
      <c r="E7" s="4" t="n"/>
      <c r="F7" s="4" t="n"/>
      <c r="G7" s="4" t="n"/>
    </row>
    <row r="8" ht="18" customHeight="1">
      <c r="A8" s="46" t="inlineStr">
        <is>
          <t>Objet : [Nom de la Marque] - Économisez 25 000 DH/an sur vos frais Shopify &amp; Boostez votre conversion mobile</t>
        </is>
      </c>
      <c r="B8" s="4" t="n"/>
      <c r="C8" s="4" t="n"/>
      <c r="D8" s="4" t="n"/>
      <c r="E8" s="4" t="n"/>
      <c r="F8" s="4" t="n"/>
      <c r="G8" s="4" t="n"/>
    </row>
    <row r="9" ht="336" customHeight="1">
      <c r="A9" s="47" t="inlineStr">
        <is>
          <t>Bonjour [Nom du Dirigeant / Équipe E-commerce],
Félicitations pour le développement de la marque [Nom de la Marque], votre positionnement sur le marché marocain est remarquable.
En analysant votre boutique en ligne [URL], nous avons constaté que vous utilisez la plateforme Shopify. Si Shopify est une solution pratique au démarrage, elle devient un véritable frein pour les marques marocaines en phase d'accélération :
1. Pression sur votre Dotation E-commerce : Entre le forfait Shopify et les applications tierces indispensables (PageFly, formulaires COD, avis), vous dépensez entre 1 500 et 3 000 DH/mois en devises internationales, réduisant d'autant votre budget publicitaire Meta et TikTok.
2. Commissions de 2% sur le Cash-on-Delivery : Faute de Shopify Payments au Maroc, vous payez une pénalité sur chaque commande livrée.
3. Vitesse Mobile limitée : L'accumulation d'apps ralentit le chargement sur smartphone (4G Maroc), ce qui entraîne une perte de 20% à 30% des visiteurs payés via la pub.
Notre offre :
Nous migrons votre boutique vers votre propre infrastructure e-commerce propriétaire haute performance (Next.js / Technologie moderne) :
• 0 DH d'abonnement en devises (vous êtes 100% propriétaire de votre boutique).
• Formulaire Cash on Delivery optimisé en 2 clics avec validation par WhatsApp.
• Vitesse instantanée (Score Google PageSpeed 95+/100) pour maximiser le ROI de vos pubs.
Seriez-vous disponible pour un échange rapide de 15 minutes cette semaine (Visio ou WhatsApp) afin d'examiner l'audit technique et financier de votre boutique ?
Bien cordialement,
[Votre Nom / Votre Agence]
[Votre Téléphone WhatsApp]</t>
        </is>
      </c>
      <c r="B9" s="4" t="n"/>
      <c r="C9" s="4" t="n"/>
      <c r="D9" s="4" t="n"/>
      <c r="E9" s="4" t="n"/>
      <c r="F9" s="4" t="n"/>
      <c r="G9" s="4" t="n"/>
    </row>
    <row r="10"/>
    <row r="11" ht="24" customHeight="1">
      <c r="A11" s="45" t="inlineStr">
        <is>
          <t>3. Traitement des Principales Objections des Clients Marocains</t>
        </is>
      </c>
      <c r="B11" s="4" t="n"/>
      <c r="C11" s="4" t="n"/>
      <c r="D11" s="4" t="n"/>
      <c r="E11" s="4" t="n"/>
      <c r="F11" s="4" t="n"/>
      <c r="G11" s="4" t="n"/>
    </row>
    <row r="12" ht="18" customHeight="1">
      <c r="A12" s="46" t="inlineStr">
        <is>
          <t>Comment répondre aux doutes les plus fréquents pour conclure le contrat</t>
        </is>
      </c>
      <c r="B12" s="4" t="n"/>
      <c r="C12" s="4" t="n"/>
      <c r="D12" s="4" t="n"/>
      <c r="E12" s="4" t="n"/>
      <c r="F12" s="4" t="n"/>
      <c r="G12" s="4" t="n"/>
    </row>
    <row r="13" ht="176" customHeight="1">
      <c r="A13" s="47" t="inlineStr">
        <is>
          <t>OBJECTION 1 : 'Shopify c'est simple, comment je vais gérer mes produits sans Shopify ?'
RÉPONSE : 'Vous aurez un tableau de bord (Back-office) en français ou arabe encore plus simple que Shopify ! Vous pourrez ajouter des produits, modifier les prix, voir les commandes et imprimer les bordereaux de livraison en 1 clic depuis votre PC ou votre téléphone, sans aucune ligne de code.'
OBJECTION 2 : 'La migration va-t-elle couper mes ventes ou me faire perdre mes données ?'
RÉPONSE : 'Zéro interruption de service ! Nous importons l'intégralité de vos clients, historiques de commandes et fiches produits sur votre nouveau site. Le basculement se fait en 10 minutes durant la nuit. Vos campagnes publicitaires continuent de tourner sans perturbation.'
OBJECTION 3 : 'Combien coûte la création du site par rapport à Shopify ?'
RÉPONSE : 'Sur Shopify, vous payez entre 18 000 et 35 000 DH chaque année, indéfiniment. Avec un site propriétaire, vous faites un investissement unique amorti en 6 à 9 mois grâce aux économies d'abonnements et au gain de conversion, puis votre site vous appartient à vie.'
OBJECTION 4 : 'Et la sécurité / hébergement ?'
RÉPONSE : 'Votre site est hébergé sur des serveurs Cloud mondiaux sécurisés (Vercel / Cloudflare) avec certificat SSL bancaire et sauvegardes quotidiennes automatiques. C'est le même niveau de sécurité que les géants mondiaux.'</t>
        </is>
      </c>
      <c r="B13" s="4" t="n"/>
      <c r="C13" s="4" t="n"/>
      <c r="D13" s="4" t="n"/>
      <c r="E13" s="4" t="n"/>
      <c r="F13" s="4" t="n"/>
      <c r="G13" s="4" t="n"/>
    </row>
  </sheetData>
  <mergeCells count="10">
    <mergeCell ref="A13:G13"/>
    <mergeCell ref="A1:G1"/>
    <mergeCell ref="A9:G9"/>
    <mergeCell ref="A8:G8"/>
    <mergeCell ref="A3:G3"/>
    <mergeCell ref="A12:G12"/>
    <mergeCell ref="A4:G4"/>
    <mergeCell ref="A7:G7"/>
    <mergeCell ref="A11:G11"/>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1" workbookViewId="0">
      <selection activeCell="A1" sqref="A1"/>
    </sheetView>
  </sheetViews>
  <sheetFormatPr baseColWidth="8" defaultRowHeight="15"/>
  <cols>
    <col width="42" customWidth="1" min="1" max="1"/>
    <col width="24" customWidth="1" min="2" max="2"/>
    <col width="22" customWidth="1" min="3" max="3"/>
    <col width="22" customWidth="1" min="4" max="4"/>
    <col width="22" customWidth="1" min="5" max="5"/>
    <col width="22" customWidth="1" min="6" max="6"/>
    <col width="12" customWidth="1" min="7" max="7"/>
  </cols>
  <sheetData>
    <row r="1" ht="32" customHeight="1">
      <c r="A1" s="1" t="inlineStr">
        <is>
          <t>SIMULATEUR DE RENTABILITÉ : SHOPIFY VS SITE PROPRIÉTAIRE (NEXT.JS)</t>
        </is>
      </c>
    </row>
    <row r="2"/>
    <row r="3">
      <c r="A3" s="8" t="inlineStr">
        <is>
          <t>PARAMÈTRES DE LA BOUTIQUE DU CLIENT (MODIFIABLES)</t>
        </is>
      </c>
    </row>
    <row r="4" ht="24" customHeight="1">
      <c r="A4" s="48" t="inlineStr">
        <is>
          <t>Paramètre</t>
        </is>
      </c>
      <c r="B4" s="48" t="inlineStr">
        <is>
          <t>Valeur</t>
        </is>
      </c>
      <c r="C4" s="48" t="inlineStr">
        <is>
          <t>Description / Hypothèse</t>
        </is>
      </c>
    </row>
    <row r="5" ht="22" customHeight="1">
      <c r="A5" s="17" t="inlineStr">
        <is>
          <t>Chiffre d'Affaires Mensuel Estimé (DH)</t>
        </is>
      </c>
      <c r="B5" s="32" t="n">
        <v>150000</v>
      </c>
      <c r="C5" s="28" t="inlineStr">
        <is>
          <t>CA moyen d'un e-commerçant marocain actif</t>
        </is>
      </c>
      <c r="D5" s="4" t="n"/>
      <c r="E5" s="4" t="n"/>
    </row>
    <row r="6" ht="22" customHeight="1">
      <c r="A6" s="17" t="inlineStr">
        <is>
          <t>Nombre de commandes par mois</t>
        </is>
      </c>
      <c r="B6" s="49" t="n">
        <v>500</v>
      </c>
      <c r="C6" s="28" t="inlineStr">
        <is>
          <t>Panier moyen ~300 DH</t>
        </is>
      </c>
      <c r="D6" s="4" t="n"/>
      <c r="E6" s="4" t="n"/>
    </row>
    <row r="7" ht="22" customHeight="1">
      <c r="A7" s="17" t="inlineStr">
        <is>
          <t>Plan Shopify utilisé ($/mois)</t>
        </is>
      </c>
      <c r="B7" s="50" t="n">
        <v>39</v>
      </c>
      <c r="C7" s="28" t="inlineStr">
        <is>
          <t>Basic: $39 / Shopify: $105 / Advanced: $399</t>
        </is>
      </c>
      <c r="D7" s="4" t="n"/>
      <c r="E7" s="4" t="n"/>
    </row>
    <row r="8" ht="22" customHeight="1">
      <c r="A8" s="17" t="inlineStr">
        <is>
          <t>Frais d'applications Shopify mensuels ($/mois)</t>
        </is>
      </c>
      <c r="B8" s="50" t="n">
        <v>80</v>
      </c>
      <c r="C8" s="28" t="inlineStr">
        <is>
          <t>EasySell/Releasit, PageFly, Judge.me, etc.</t>
        </is>
      </c>
      <c r="D8" s="4" t="n"/>
      <c r="E8" s="4" t="n"/>
    </row>
    <row r="9" ht="22" customHeight="1">
      <c r="A9" s="17" t="inlineStr">
        <is>
          <t>Commission Shopify sur transactions non-Shopify Payments</t>
        </is>
      </c>
      <c r="B9" s="51" t="n">
        <v>0.02</v>
      </c>
      <c r="C9" s="28" t="inlineStr">
        <is>
          <t>2.0% pour Basic, 1.0% pour Shopify</t>
        </is>
      </c>
      <c r="D9" s="4" t="n"/>
      <c r="E9" s="4" t="n"/>
    </row>
    <row r="10" ht="22" customHeight="1">
      <c r="A10" s="17" t="inlineStr">
        <is>
          <t>Taux de change USD -&gt; MAD</t>
        </is>
      </c>
      <c r="B10" s="49" t="n">
        <v>10</v>
      </c>
      <c r="C10" s="28" t="inlineStr">
        <is>
          <t>1 USD = 10 MAD environ</t>
        </is>
      </c>
      <c r="D10" s="4" t="n"/>
      <c r="E10" s="4" t="n"/>
    </row>
    <row r="11" ht="22" customHeight="1">
      <c r="A11" s="17" t="inlineStr">
        <is>
          <t>Coût de développement du Site Propriétaire (Devis Agence DH)</t>
        </is>
      </c>
      <c r="B11" s="32" t="n">
        <v>18000</v>
      </c>
      <c r="C11" s="28" t="inlineStr">
        <is>
          <t>Investissement initial one-shot</t>
        </is>
      </c>
      <c r="D11" s="4" t="n"/>
      <c r="E11" s="4" t="n"/>
    </row>
    <row r="12" ht="22" customHeight="1">
      <c r="A12" s="17" t="inlineStr">
        <is>
          <t>Coût d'hébergement serveur mensuel du Site Propriétaire (DH)</t>
        </is>
      </c>
      <c r="B12" s="32" t="n">
        <v>100</v>
      </c>
      <c r="C12" s="28" t="inlineStr">
        <is>
          <t>Vercel / Hetzner / Hostinger</t>
        </is>
      </c>
      <c r="D12" s="4" t="n"/>
      <c r="E12" s="4" t="n"/>
    </row>
    <row r="13"/>
    <row r="14">
      <c r="A14" s="8" t="inlineStr">
        <is>
          <t>COMPARAISON DES COÛTS RÉELS SUR 1 AN ET 3 ANS</t>
        </is>
      </c>
    </row>
    <row r="15" ht="26" customHeight="1">
      <c r="A15" s="9" t="inlineStr">
        <is>
          <t>Poste de Coût</t>
        </is>
      </c>
      <c r="B15" s="9" t="inlineStr">
        <is>
          <t>Formule / Calcul</t>
        </is>
      </c>
      <c r="C15" s="9" t="inlineStr">
        <is>
          <t>Shopify (1 An)</t>
        </is>
      </c>
      <c r="D15" s="9" t="inlineStr">
        <is>
          <t>Site Propre (1 An)</t>
        </is>
      </c>
      <c r="E15" s="9" t="inlineStr">
        <is>
          <t>Shopify (3 Ans)</t>
        </is>
      </c>
      <c r="F15" s="9" t="inlineStr">
        <is>
          <t>Site Propre (3 Ans)</t>
        </is>
      </c>
    </row>
    <row r="16" ht="22" customHeight="1">
      <c r="A16" s="17" t="inlineStr">
        <is>
          <t>Frais d'Abonnement Plateforme</t>
        </is>
      </c>
      <c r="B16" s="46" t="inlineStr">
        <is>
          <t>(Plan $ * Taux * Mois)</t>
        </is>
      </c>
      <c r="C16" s="52">
        <f>B7*B10*12</f>
        <v/>
      </c>
      <c r="D16" s="52" t="inlineStr">
        <is>
          <t>0</t>
        </is>
      </c>
      <c r="E16" s="52">
        <f>B7*B10*36</f>
        <v/>
      </c>
      <c r="F16" s="52" t="inlineStr">
        <is>
          <t>0</t>
        </is>
      </c>
    </row>
    <row r="17" ht="22" customHeight="1">
      <c r="A17" s="17" t="inlineStr">
        <is>
          <t>Frais des Applications Tierces</t>
        </is>
      </c>
      <c r="B17" s="46" t="inlineStr">
        <is>
          <t>(Apps $ * Taux * Mois)</t>
        </is>
      </c>
      <c r="C17" s="52">
        <f>B8*B10*12</f>
        <v/>
      </c>
      <c r="D17" s="52" t="inlineStr">
        <is>
          <t>0</t>
        </is>
      </c>
      <c r="E17" s="52">
        <f>B8*B10*36</f>
        <v/>
      </c>
      <c r="F17" s="52" t="inlineStr">
        <is>
          <t>0</t>
        </is>
      </c>
    </row>
    <row r="18" ht="22" customHeight="1">
      <c r="A18" s="17" t="inlineStr">
        <is>
          <t>Commissions Transactions (2% sur CA)</t>
        </is>
      </c>
      <c r="B18" s="46" t="inlineStr">
        <is>
          <t>(CA Mensuel * % Comm * Mois)</t>
        </is>
      </c>
      <c r="C18" s="52">
        <f>B5*B9*12</f>
        <v/>
      </c>
      <c r="D18" s="52" t="inlineStr">
        <is>
          <t>0</t>
        </is>
      </c>
      <c r="E18" s="52">
        <f>B5*B9*36</f>
        <v/>
      </c>
      <c r="F18" s="52" t="inlineStr">
        <is>
          <t>0</t>
        </is>
      </c>
    </row>
    <row r="19" ht="22" customHeight="1">
      <c r="A19" s="17" t="inlineStr">
        <is>
          <t>Frais de Développement Initial</t>
        </is>
      </c>
      <c r="B19" s="46" t="inlineStr">
        <is>
          <t>Création sur-mesure</t>
        </is>
      </c>
      <c r="C19" s="52" t="inlineStr">
        <is>
          <t>0</t>
        </is>
      </c>
      <c r="D19" s="52">
        <f>B11</f>
        <v/>
      </c>
      <c r="E19" s="52" t="inlineStr">
        <is>
          <t>0</t>
        </is>
      </c>
      <c r="F19" s="52">
        <f>B11</f>
        <v/>
      </c>
    </row>
    <row r="20" ht="22" customHeight="1">
      <c r="A20" s="17" t="inlineStr">
        <is>
          <t>Frais d'Hébergement &amp; Maintenance</t>
        </is>
      </c>
      <c r="B20" s="46" t="inlineStr">
        <is>
          <t>Serveur Cloud</t>
        </is>
      </c>
      <c r="C20" s="52" t="inlineStr">
        <is>
          <t>0</t>
        </is>
      </c>
      <c r="D20" s="52">
        <f>B12*12</f>
        <v/>
      </c>
      <c r="E20" s="52" t="inlineStr">
        <is>
          <t>0</t>
        </is>
      </c>
      <c r="F20" s="52">
        <f>B12*36</f>
        <v/>
      </c>
    </row>
    <row r="21" ht="26" customHeight="1">
      <c r="A21" s="53" t="inlineStr">
        <is>
          <t>COÛT TOTAL CUMULÉ</t>
        </is>
      </c>
      <c r="B21" s="54" t="inlineStr">
        <is>
          <t>Total des dépenses</t>
        </is>
      </c>
      <c r="C21" s="55">
        <f>SUM(C16:C20)</f>
        <v/>
      </c>
      <c r="D21" s="56">
        <f>SUM(D16:D20)</f>
        <v/>
      </c>
      <c r="E21" s="55">
        <f>SUM(E16:E20)</f>
        <v/>
      </c>
      <c r="F21" s="56">
        <f>SUM(F16:F20)</f>
        <v/>
      </c>
    </row>
    <row r="22"/>
    <row r="23">
      <c r="A23" s="57" t="inlineStr">
        <is>
          <t>ÉCONOMIE NETTE RÉALISÉE DÈS LA PREMIÈRE ANNÉE :</t>
        </is>
      </c>
      <c r="B23" s="4" t="n"/>
      <c r="C23" s="4" t="n"/>
      <c r="D23" s="58">
        <f>C21-D21</f>
        <v/>
      </c>
      <c r="E23" s="4" t="n"/>
      <c r="F23" s="4" t="n"/>
    </row>
    <row r="24">
      <c r="A24" s="4" t="n"/>
      <c r="B24" s="4" t="n"/>
      <c r="C24" s="4" t="n"/>
      <c r="D24" s="4" t="n"/>
      <c r="E24" s="4" t="n"/>
      <c r="F24" s="4" t="n"/>
    </row>
    <row r="25"/>
    <row r="26">
      <c r="A26" s="57" t="inlineStr">
        <is>
          <t>ÉCONOMIE NETTE TOTALE SUR 3 ANS :</t>
        </is>
      </c>
      <c r="B26" s="4" t="n"/>
      <c r="C26" s="4" t="n"/>
      <c r="D26" s="58">
        <f>E21-F21</f>
        <v/>
      </c>
      <c r="E26" s="4" t="n"/>
      <c r="F26" s="4" t="n"/>
    </row>
    <row r="27">
      <c r="A27" s="4" t="n"/>
      <c r="B27" s="4" t="n"/>
      <c r="C27" s="4" t="n"/>
      <c r="D27" s="4" t="n"/>
      <c r="E27" s="4" t="n"/>
      <c r="F27" s="4" t="n"/>
    </row>
  </sheetData>
  <mergeCells count="14">
    <mergeCell ref="A26:C27"/>
    <mergeCell ref="C11:E11"/>
    <mergeCell ref="A1:G1"/>
    <mergeCell ref="C5:E5"/>
    <mergeCell ref="C8:E8"/>
    <mergeCell ref="C9:E9"/>
    <mergeCell ref="C4:E4"/>
    <mergeCell ref="D26:F27"/>
    <mergeCell ref="C7:E7"/>
    <mergeCell ref="C12:E12"/>
    <mergeCell ref="D23:F24"/>
    <mergeCell ref="A23:C24"/>
    <mergeCell ref="C6:E6"/>
    <mergeCell ref="C10:E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showGridLines="1" workbookViewId="0">
      <selection activeCell="A1" sqref="A1"/>
    </sheetView>
  </sheetViews>
  <sheetFormatPr baseColWidth="8" defaultRowHeight="15"/>
  <cols>
    <col width="18" customWidth="1" min="1" max="1"/>
    <col width="24" customWidth="1" min="2" max="2"/>
    <col width="24" customWidth="1" min="3" max="3"/>
    <col width="18" customWidth="1" min="4" max="4"/>
    <col width="28" customWidth="1" min="5" max="5"/>
    <col width="20" customWidth="1" min="6" max="6"/>
    <col width="26" customWidth="1" min="7" max="7"/>
    <col width="20" customWidth="1" min="8" max="8"/>
    <col width="20" customWidth="1" min="9" max="9"/>
    <col width="36" customWidth="1" min="10" max="10"/>
    <col width="36" customWidth="1" min="11" max="11"/>
  </cols>
  <sheetData>
    <row r="1" ht="32" customHeight="1">
      <c r="A1" s="1" t="inlineStr">
        <is>
          <t>PIPELINE COMMERCIAL &amp; JOURNAL DE SUIVI DES RELANCES</t>
        </is>
      </c>
    </row>
    <row r="2"/>
    <row r="3" ht="26" customHeight="1">
      <c r="A3" s="9" t="inlineStr">
        <is>
          <t>Date Prise Contact</t>
        </is>
      </c>
      <c r="B3" s="9" t="inlineStr">
        <is>
          <t>Marque</t>
        </is>
      </c>
      <c r="C3" s="9" t="inlineStr">
        <is>
          <t>Interlocuteur</t>
        </is>
      </c>
      <c r="D3" s="9" t="inlineStr">
        <is>
          <t>Canal Utilisé</t>
        </is>
      </c>
      <c r="E3" s="9" t="inlineStr">
        <is>
          <t>Réponse Obtenue</t>
        </is>
      </c>
      <c r="F3" s="9" t="inlineStr">
        <is>
          <t>Statut Actuel</t>
        </is>
      </c>
      <c r="G3" s="9" t="inlineStr">
        <is>
          <t>Objection Majeure</t>
        </is>
      </c>
      <c r="H3" s="9" t="inlineStr">
        <is>
          <t>Valeur Devis Potentiel (DH)</t>
        </is>
      </c>
      <c r="I3" s="9" t="inlineStr">
        <is>
          <t>Date Prochaine Relance</t>
        </is>
      </c>
      <c r="J3" s="9" t="inlineStr">
        <is>
          <t>Action Prévue</t>
        </is>
      </c>
      <c r="K3" s="9" t="inlineStr">
        <is>
          <t>Commentaires</t>
        </is>
      </c>
    </row>
    <row r="4" ht="26" customHeight="1">
      <c r="A4" s="59" t="inlineStr">
        <is>
          <t>26/10/2026</t>
        </is>
      </c>
      <c r="B4" s="17" t="inlineStr">
        <is>
          <t>Anulus Joaillerie</t>
        </is>
      </c>
      <c r="C4" s="28" t="inlineStr">
        <is>
          <t>Fondateur / E-commerce Mgr</t>
        </is>
      </c>
      <c r="D4" s="59" t="inlineStr">
        <is>
          <t>WhatsApp Direct</t>
        </is>
      </c>
      <c r="E4" s="28" t="inlineStr">
        <is>
          <t>Démo &amp; Audit validés</t>
        </is>
      </c>
      <c r="F4" s="33" t="inlineStr">
        <is>
          <t>2. Prêt pour Envoi</t>
        </is>
      </c>
      <c r="G4" s="59" t="inlineStr">
        <is>
          <t>-</t>
        </is>
      </c>
      <c r="H4" s="32" t="n">
        <v>18000</v>
      </c>
      <c r="I4" s="59" t="inlineStr">
        <is>
          <t>Immédiat</t>
        </is>
      </c>
      <c r="J4" s="28" t="inlineStr">
        <is>
          <t>Envoyer note vocale WhatsApp &amp; pitch email</t>
        </is>
      </c>
      <c r="K4" s="28" t="inlineStr">
        <is>
          <t>Priorité 🔥 Très Haute - Démo Next.js prête dans leads/Anulus_Joaillerie/</t>
        </is>
      </c>
    </row>
    <row r="5" ht="26" customHeight="1">
      <c r="A5" s="60" t="inlineStr">
        <is>
          <t>26/10/2026</t>
        </is>
      </c>
      <c r="B5" s="10" t="inlineStr">
        <is>
          <t>Ma Montre Maroc</t>
        </is>
      </c>
      <c r="C5" s="35" t="inlineStr">
        <is>
          <t>Fondateur / E-commerce Mgr</t>
        </is>
      </c>
      <c r="D5" s="60" t="inlineStr">
        <is>
          <t>WhatsApp Direct</t>
        </is>
      </c>
      <c r="E5" s="35" t="inlineStr">
        <is>
          <t>Démo &amp; Audit validés</t>
        </is>
      </c>
      <c r="F5" s="34" t="inlineStr">
        <is>
          <t>2. Prêt pour Envoi</t>
        </is>
      </c>
      <c r="G5" s="60" t="inlineStr">
        <is>
          <t>-</t>
        </is>
      </c>
      <c r="H5" s="39" t="n">
        <v>18000</v>
      </c>
      <c r="I5" s="60" t="inlineStr">
        <is>
          <t>Immédiat</t>
        </is>
      </c>
      <c r="J5" s="35" t="inlineStr">
        <is>
          <t>Envoyer note vocale WhatsApp &amp; pitch email</t>
        </is>
      </c>
      <c r="K5" s="35" t="inlineStr">
        <is>
          <t>Priorité Haute - Démo Next.js prête dans leads/Ma_Montre_Maroc/</t>
        </is>
      </c>
    </row>
    <row r="6" ht="26" customHeight="1">
      <c r="A6" s="59" t="inlineStr">
        <is>
          <t>À planifier</t>
        </is>
      </c>
      <c r="B6" s="17" t="inlineStr">
        <is>
          <t>Dynasty Maroc</t>
        </is>
      </c>
      <c r="C6" s="28" t="inlineStr">
        <is>
          <t>Fondateur / E-commerce Mgr</t>
        </is>
      </c>
      <c r="D6" s="59" t="inlineStr">
        <is>
          <t>WhatsApp Direct</t>
        </is>
      </c>
      <c r="E6" s="28" t="inlineStr">
        <is>
          <t>En attente premier message</t>
        </is>
      </c>
      <c r="F6" s="40" t="inlineStr">
        <is>
          <t>1. Nouveau Lead</t>
        </is>
      </c>
      <c r="G6" s="59" t="inlineStr">
        <is>
          <t>-</t>
        </is>
      </c>
      <c r="H6" s="32" t="n">
        <v>18000</v>
      </c>
      <c r="I6" s="59" t="inlineStr">
        <is>
          <t>J+2</t>
        </is>
      </c>
      <c r="J6" s="28" t="inlineStr">
        <is>
          <t>Envoyer note vocale WhatsApp personnalisée</t>
        </is>
      </c>
      <c r="K6" s="28" t="inlineStr">
        <is>
          <t>Priorité Haute - Numéro : +212 7 63 77 80 49</t>
        </is>
      </c>
    </row>
    <row r="7" ht="26" customHeight="1">
      <c r="A7" s="60" t="inlineStr">
        <is>
          <t>À planifier</t>
        </is>
      </c>
      <c r="B7" s="10" t="inlineStr">
        <is>
          <t>Flex Shoes</t>
        </is>
      </c>
      <c r="C7" s="35" t="inlineStr">
        <is>
          <t>Fondateur / E-commerce Mgr</t>
        </is>
      </c>
      <c r="D7" s="60" t="inlineStr">
        <is>
          <t>WhatsApp Direct</t>
        </is>
      </c>
      <c r="E7" s="35" t="inlineStr">
        <is>
          <t>En attente premier message</t>
        </is>
      </c>
      <c r="F7" s="34" t="inlineStr">
        <is>
          <t>1. Nouveau Lead</t>
        </is>
      </c>
      <c r="G7" s="60" t="inlineStr">
        <is>
          <t>-</t>
        </is>
      </c>
      <c r="H7" s="39" t="n">
        <v>18000</v>
      </c>
      <c r="I7" s="60" t="inlineStr">
        <is>
          <t>J+2</t>
        </is>
      </c>
      <c r="J7" s="35" t="inlineStr">
        <is>
          <t>Envoyer note vocale WhatsApp personnalisée</t>
        </is>
      </c>
      <c r="K7" s="35" t="inlineStr">
        <is>
          <t>Priorité 🔥 Très Haute - Numéro : +212 6 70 59 88 44</t>
        </is>
      </c>
    </row>
    <row r="8" ht="26" customHeight="1">
      <c r="A8" s="59" t="inlineStr">
        <is>
          <t>À planifier</t>
        </is>
      </c>
      <c r="B8" s="17" t="inlineStr">
        <is>
          <t>Maison de Mode</t>
        </is>
      </c>
      <c r="C8" s="28" t="inlineStr">
        <is>
          <t>Fondateur / E-commerce Mgr</t>
        </is>
      </c>
      <c r="D8" s="59" t="inlineStr">
        <is>
          <t>WhatsApp Direct</t>
        </is>
      </c>
      <c r="E8" s="28" t="inlineStr">
        <is>
          <t>En attente premier message</t>
        </is>
      </c>
      <c r="F8" s="40" t="inlineStr">
        <is>
          <t>1. Nouveau Lead</t>
        </is>
      </c>
      <c r="G8" s="59" t="inlineStr">
        <is>
          <t>-</t>
        </is>
      </c>
      <c r="H8" s="32" t="n">
        <v>18000</v>
      </c>
      <c r="I8" s="59" t="inlineStr">
        <is>
          <t>J+2</t>
        </is>
      </c>
      <c r="J8" s="28" t="inlineStr">
        <is>
          <t>Envoyer note vocale WhatsApp personnalisée</t>
        </is>
      </c>
      <c r="K8" s="28" t="inlineStr">
        <is>
          <t>Priorité Haute - Numéro : +212 7 00 91 87 91</t>
        </is>
      </c>
    </row>
    <row r="9" ht="26" customHeight="1">
      <c r="A9" s="60" t="inlineStr">
        <is>
          <t>À planifier</t>
        </is>
      </c>
      <c r="B9" s="10" t="inlineStr">
        <is>
          <t>Aurea Accessories</t>
        </is>
      </c>
      <c r="C9" s="35" t="inlineStr">
        <is>
          <t>Fondateur / E-commerce Mgr</t>
        </is>
      </c>
      <c r="D9" s="60" t="inlineStr">
        <is>
          <t>WhatsApp Direct</t>
        </is>
      </c>
      <c r="E9" s="35" t="inlineStr">
        <is>
          <t>En attente premier message</t>
        </is>
      </c>
      <c r="F9" s="34" t="inlineStr">
        <is>
          <t>1. Nouveau Lead</t>
        </is>
      </c>
      <c r="G9" s="60" t="inlineStr">
        <is>
          <t>-</t>
        </is>
      </c>
      <c r="H9" s="39" t="n">
        <v>18000</v>
      </c>
      <c r="I9" s="60" t="inlineStr">
        <is>
          <t>J+2</t>
        </is>
      </c>
      <c r="J9" s="35" t="inlineStr">
        <is>
          <t>Envoyer note vocale WhatsApp personnalisée</t>
        </is>
      </c>
      <c r="K9" s="35" t="inlineStr">
        <is>
          <t>Priorité 🔥 Très Haute - Numéro : +212 6 84 90 25 11</t>
        </is>
      </c>
    </row>
    <row r="10" ht="26" customHeight="1">
      <c r="A10" s="59" t="inlineStr">
        <is>
          <t>À planifier</t>
        </is>
      </c>
      <c r="B10" s="17" t="inlineStr">
        <is>
          <t>Bleather Maroc</t>
        </is>
      </c>
      <c r="C10" s="28" t="inlineStr">
        <is>
          <t>Fondateur / E-commerce Mgr</t>
        </is>
      </c>
      <c r="D10" s="59" t="inlineStr">
        <is>
          <t>WhatsApp Direct</t>
        </is>
      </c>
      <c r="E10" s="28" t="inlineStr">
        <is>
          <t>En attente premier message</t>
        </is>
      </c>
      <c r="F10" s="40" t="inlineStr">
        <is>
          <t>1. Nouveau Lead</t>
        </is>
      </c>
      <c r="G10" s="59" t="inlineStr">
        <is>
          <t>-</t>
        </is>
      </c>
      <c r="H10" s="32" t="n">
        <v>18000</v>
      </c>
      <c r="I10" s="59" t="inlineStr">
        <is>
          <t>J+2</t>
        </is>
      </c>
      <c r="J10" s="28" t="inlineStr">
        <is>
          <t>Envoyer note vocale WhatsApp personnalisée</t>
        </is>
      </c>
      <c r="K10" s="28" t="inlineStr">
        <is>
          <t>Priorité 🔥 Très Haute - Numéro : +212 6 03 69 51 77</t>
        </is>
      </c>
    </row>
    <row r="11" ht="26" customHeight="1">
      <c r="A11" s="60" t="inlineStr">
        <is>
          <t>À planifier</t>
        </is>
      </c>
      <c r="B11" s="10" t="inlineStr">
        <is>
          <t>Feskin Cuir</t>
        </is>
      </c>
      <c r="C11" s="35" t="inlineStr">
        <is>
          <t>Fondateur / E-commerce Mgr</t>
        </is>
      </c>
      <c r="D11" s="60" t="inlineStr">
        <is>
          <t>WhatsApp Direct</t>
        </is>
      </c>
      <c r="E11" s="35" t="inlineStr">
        <is>
          <t>En attente premier message</t>
        </is>
      </c>
      <c r="F11" s="34" t="inlineStr">
        <is>
          <t>1. Nouveau Lead</t>
        </is>
      </c>
      <c r="G11" s="60" t="inlineStr">
        <is>
          <t>-</t>
        </is>
      </c>
      <c r="H11" s="39" t="n">
        <v>18000</v>
      </c>
      <c r="I11" s="60" t="inlineStr">
        <is>
          <t>J+2</t>
        </is>
      </c>
      <c r="J11" s="35" t="inlineStr">
        <is>
          <t>Envoyer note vocale WhatsApp personnalisée</t>
        </is>
      </c>
      <c r="K11" s="35" t="inlineStr">
        <is>
          <t>Priorité Haute - Numéro : +212 6 61 78 90 12</t>
        </is>
      </c>
    </row>
    <row r="12" ht="26" customHeight="1">
      <c r="A12" s="59" t="inlineStr">
        <is>
          <t>À planifier</t>
        </is>
      </c>
      <c r="B12" s="17" t="inlineStr">
        <is>
          <t>Clakovs Brustel</t>
        </is>
      </c>
      <c r="C12" s="28" t="inlineStr">
        <is>
          <t>Fondateur / E-commerce Mgr</t>
        </is>
      </c>
      <c r="D12" s="59" t="inlineStr">
        <is>
          <t>WhatsApp Direct</t>
        </is>
      </c>
      <c r="E12" s="28" t="inlineStr">
        <is>
          <t>En attente premier message</t>
        </is>
      </c>
      <c r="F12" s="40" t="inlineStr">
        <is>
          <t>1. Nouveau Lead</t>
        </is>
      </c>
      <c r="G12" s="59" t="inlineStr">
        <is>
          <t>-</t>
        </is>
      </c>
      <c r="H12" s="32" t="n">
        <v>18000</v>
      </c>
      <c r="I12" s="59" t="inlineStr">
        <is>
          <t>J+2</t>
        </is>
      </c>
      <c r="J12" s="28" t="inlineStr">
        <is>
          <t>Envoyer note vocale WhatsApp personnalisée</t>
        </is>
      </c>
      <c r="K12" s="28" t="inlineStr">
        <is>
          <t>Priorité Haute - Numéro : +212 6 66 32 91 19</t>
        </is>
      </c>
    </row>
    <row r="13" ht="26" customHeight="1">
      <c r="A13" s="60" t="inlineStr">
        <is>
          <t>À planifier</t>
        </is>
      </c>
      <c r="B13" s="10" t="inlineStr">
        <is>
          <t>Makushop</t>
        </is>
      </c>
      <c r="C13" s="35" t="inlineStr">
        <is>
          <t>Fondateur / E-commerce Mgr</t>
        </is>
      </c>
      <c r="D13" s="60" t="inlineStr">
        <is>
          <t>WhatsApp Direct</t>
        </is>
      </c>
      <c r="E13" s="35" t="inlineStr">
        <is>
          <t>En attente premier message</t>
        </is>
      </c>
      <c r="F13" s="34" t="inlineStr">
        <is>
          <t>1. Nouveau Lead</t>
        </is>
      </c>
      <c r="G13" s="60" t="inlineStr">
        <is>
          <t>-</t>
        </is>
      </c>
      <c r="H13" s="39" t="n">
        <v>18000</v>
      </c>
      <c r="I13" s="60" t="inlineStr">
        <is>
          <t>J+2</t>
        </is>
      </c>
      <c r="J13" s="35" t="inlineStr">
        <is>
          <t>Envoyer note vocale WhatsApp personnalisée</t>
        </is>
      </c>
      <c r="K13" s="35" t="inlineStr">
        <is>
          <t>Priorité Haute - Numéro : +212 6 97 83 88 05</t>
        </is>
      </c>
    </row>
    <row r="14" ht="26" customHeight="1">
      <c r="A14" s="59" t="inlineStr">
        <is>
          <t>À planifier</t>
        </is>
      </c>
      <c r="B14" s="17" t="inlineStr">
        <is>
          <t>70mai Maroc</t>
        </is>
      </c>
      <c r="C14" s="28" t="inlineStr">
        <is>
          <t>Fondateur / E-commerce Mgr</t>
        </is>
      </c>
      <c r="D14" s="59" t="inlineStr">
        <is>
          <t>WhatsApp Direct</t>
        </is>
      </c>
      <c r="E14" s="28" t="inlineStr">
        <is>
          <t>En attente premier message</t>
        </is>
      </c>
      <c r="F14" s="40" t="inlineStr">
        <is>
          <t>1. Nouveau Lead</t>
        </is>
      </c>
      <c r="G14" s="59" t="inlineStr">
        <is>
          <t>-</t>
        </is>
      </c>
      <c r="H14" s="32" t="n">
        <v>18000</v>
      </c>
      <c r="I14" s="59" t="inlineStr">
        <is>
          <t>J+2</t>
        </is>
      </c>
      <c r="J14" s="28" t="inlineStr">
        <is>
          <t>Envoyer note vocale WhatsApp personnalisée</t>
        </is>
      </c>
      <c r="K14" s="28" t="inlineStr">
        <is>
          <t>Priorité 🔥 Très Haute - Numéro : +212 6 71 45 03 67</t>
        </is>
      </c>
    </row>
    <row r="15" ht="26" customHeight="1">
      <c r="A15" s="60" t="inlineStr">
        <is>
          <t>À planifier</t>
        </is>
      </c>
      <c r="B15" s="10" t="inlineStr">
        <is>
          <t>Minisouq Maroc</t>
        </is>
      </c>
      <c r="C15" s="35" t="inlineStr">
        <is>
          <t>Fondateur / E-commerce Mgr</t>
        </is>
      </c>
      <c r="D15" s="60" t="inlineStr">
        <is>
          <t>WhatsApp Direct</t>
        </is>
      </c>
      <c r="E15" s="35" t="inlineStr">
        <is>
          <t>En attente premier message</t>
        </is>
      </c>
      <c r="F15" s="34" t="inlineStr">
        <is>
          <t>1. Nouveau Lead</t>
        </is>
      </c>
      <c r="G15" s="60" t="inlineStr">
        <is>
          <t>-</t>
        </is>
      </c>
      <c r="H15" s="39" t="n">
        <v>18000</v>
      </c>
      <c r="I15" s="60" t="inlineStr">
        <is>
          <t>J+2</t>
        </is>
      </c>
      <c r="J15" s="35" t="inlineStr">
        <is>
          <t>Envoyer note vocale WhatsApp personnalisée</t>
        </is>
      </c>
      <c r="K15" s="35" t="inlineStr">
        <is>
          <t>Priorité Haute - Numéro : +212 6 55 44 33 22</t>
        </is>
      </c>
    </row>
    <row r="16" ht="26" customHeight="1">
      <c r="A16" s="59" t="inlineStr">
        <is>
          <t>À planifier</t>
        </is>
      </c>
      <c r="B16" s="17" t="inlineStr">
        <is>
          <t>Diabète Solutions</t>
        </is>
      </c>
      <c r="C16" s="28" t="inlineStr">
        <is>
          <t>Fondateur / E-commerce Mgr</t>
        </is>
      </c>
      <c r="D16" s="59" t="inlineStr">
        <is>
          <t>WhatsApp Direct</t>
        </is>
      </c>
      <c r="E16" s="28" t="inlineStr">
        <is>
          <t>En attente premier message</t>
        </is>
      </c>
      <c r="F16" s="40" t="inlineStr">
        <is>
          <t>1. Nouveau Lead</t>
        </is>
      </c>
      <c r="G16" s="59" t="inlineStr">
        <is>
          <t>-</t>
        </is>
      </c>
      <c r="H16" s="32" t="n">
        <v>18000</v>
      </c>
      <c r="I16" s="59" t="inlineStr">
        <is>
          <t>J+2</t>
        </is>
      </c>
      <c r="J16" s="28" t="inlineStr">
        <is>
          <t>Envoyer note vocale WhatsApp personnalisée</t>
        </is>
      </c>
      <c r="K16" s="28" t="inlineStr">
        <is>
          <t>Priorité 🔥 Très Haute - Numéro : +212 7 67 60 49 58</t>
        </is>
      </c>
    </row>
    <row r="17" ht="26" customHeight="1">
      <c r="A17" s="60" t="inlineStr">
        <is>
          <t>À planifier</t>
        </is>
      </c>
      <c r="B17" s="10" t="inlineStr">
        <is>
          <t>Beauty Market</t>
        </is>
      </c>
      <c r="C17" s="35" t="inlineStr">
        <is>
          <t>Fondateur / E-commerce Mgr</t>
        </is>
      </c>
      <c r="D17" s="60" t="inlineStr">
        <is>
          <t>WhatsApp Direct</t>
        </is>
      </c>
      <c r="E17" s="35" t="inlineStr">
        <is>
          <t>En attente premier message</t>
        </is>
      </c>
      <c r="F17" s="34" t="inlineStr">
        <is>
          <t>1. Nouveau Lead</t>
        </is>
      </c>
      <c r="G17" s="60" t="inlineStr">
        <is>
          <t>-</t>
        </is>
      </c>
      <c r="H17" s="39" t="n">
        <v>18000</v>
      </c>
      <c r="I17" s="60" t="inlineStr">
        <is>
          <t>J+2</t>
        </is>
      </c>
      <c r="J17" s="35" t="inlineStr">
        <is>
          <t>Envoyer note vocale WhatsApp personnalisée</t>
        </is>
      </c>
      <c r="K17" s="35" t="inlineStr">
        <is>
          <t>Priorité Haute - Numéro : +212 6 99 50 55 20</t>
        </is>
      </c>
    </row>
    <row r="18" ht="26" customHeight="1">
      <c r="A18" s="59" t="inlineStr">
        <is>
          <t>À planifier</t>
        </is>
      </c>
      <c r="B18" s="17" t="inlineStr">
        <is>
          <t>Lamoura Bijoux</t>
        </is>
      </c>
      <c r="C18" s="28" t="inlineStr">
        <is>
          <t>Fondateur / E-commerce Mgr</t>
        </is>
      </c>
      <c r="D18" s="59" t="inlineStr">
        <is>
          <t>WhatsApp Direct</t>
        </is>
      </c>
      <c r="E18" s="28" t="inlineStr">
        <is>
          <t>En attente premier message</t>
        </is>
      </c>
      <c r="F18" s="40" t="inlineStr">
        <is>
          <t>1. Nouveau Lead</t>
        </is>
      </c>
      <c r="G18" s="59" t="inlineStr">
        <is>
          <t>-</t>
        </is>
      </c>
      <c r="H18" s="32" t="n">
        <v>18000</v>
      </c>
      <c r="I18" s="59" t="inlineStr">
        <is>
          <t>J+2</t>
        </is>
      </c>
      <c r="J18" s="28" t="inlineStr">
        <is>
          <t>Envoyer note vocale WhatsApp personnalisée</t>
        </is>
      </c>
      <c r="K18" s="28" t="inlineStr">
        <is>
          <t>Priorité Haute - Numéro : +212 6 45 67 89 01</t>
        </is>
      </c>
    </row>
    <row r="19" ht="26" customHeight="1">
      <c r="A19" s="60" t="inlineStr">
        <is>
          <t>À planifier</t>
        </is>
      </c>
      <c r="B19" s="10" t="inlineStr">
        <is>
          <t>Miguina Horlogerie</t>
        </is>
      </c>
      <c r="C19" s="35" t="inlineStr">
        <is>
          <t>Fondateur / E-commerce Mgr</t>
        </is>
      </c>
      <c r="D19" s="60" t="inlineStr">
        <is>
          <t>WhatsApp Direct</t>
        </is>
      </c>
      <c r="E19" s="35" t="inlineStr">
        <is>
          <t>En attente premier message</t>
        </is>
      </c>
      <c r="F19" s="34" t="inlineStr">
        <is>
          <t>1. Nouveau Lead</t>
        </is>
      </c>
      <c r="G19" s="60" t="inlineStr">
        <is>
          <t>-</t>
        </is>
      </c>
      <c r="H19" s="39" t="n">
        <v>18000</v>
      </c>
      <c r="I19" s="60" t="inlineStr">
        <is>
          <t>J+2</t>
        </is>
      </c>
      <c r="J19" s="35" t="inlineStr">
        <is>
          <t>Envoyer note vocale WhatsApp personnalisée</t>
        </is>
      </c>
      <c r="K19" s="35" t="inlineStr">
        <is>
          <t>Priorité 🔥 Très Haute - Numéro : +212 6 61 23 45 67</t>
        </is>
      </c>
    </row>
    <row r="20" ht="26" customHeight="1">
      <c r="A20" s="59" t="inlineStr">
        <is>
          <t>À planifier</t>
        </is>
      </c>
      <c r="B20" s="17" t="inlineStr">
        <is>
          <t>Concept Darna</t>
        </is>
      </c>
      <c r="C20" s="28" t="inlineStr">
        <is>
          <t>Fondateur / E-commerce Mgr</t>
        </is>
      </c>
      <c r="D20" s="59" t="inlineStr">
        <is>
          <t>WhatsApp Direct</t>
        </is>
      </c>
      <c r="E20" s="28" t="inlineStr">
        <is>
          <t>En attente premier message</t>
        </is>
      </c>
      <c r="F20" s="40" t="inlineStr">
        <is>
          <t>1. Nouveau Lead</t>
        </is>
      </c>
      <c r="G20" s="59" t="inlineStr">
        <is>
          <t>-</t>
        </is>
      </c>
      <c r="H20" s="32" t="n">
        <v>18000</v>
      </c>
      <c r="I20" s="59" t="inlineStr">
        <is>
          <t>J+2</t>
        </is>
      </c>
      <c r="J20" s="28" t="inlineStr">
        <is>
          <t>Envoyer note vocale WhatsApp personnalisée</t>
        </is>
      </c>
      <c r="K20" s="28" t="inlineStr">
        <is>
          <t>Priorité 🔥 Très Haute - Numéro : +212 6 17 95 79 62</t>
        </is>
      </c>
    </row>
    <row r="21" ht="26" customHeight="1">
      <c r="A21" s="60" t="inlineStr">
        <is>
          <t>À planifier</t>
        </is>
      </c>
      <c r="B21" s="10" t="inlineStr">
        <is>
          <t>Kamerty</t>
        </is>
      </c>
      <c r="C21" s="35" t="inlineStr">
        <is>
          <t>Fondateur / E-commerce Mgr</t>
        </is>
      </c>
      <c r="D21" s="60" t="inlineStr">
        <is>
          <t>WhatsApp Direct</t>
        </is>
      </c>
      <c r="E21" s="35" t="inlineStr">
        <is>
          <t>En attente premier message</t>
        </is>
      </c>
      <c r="F21" s="34" t="inlineStr">
        <is>
          <t>1. Nouveau Lead</t>
        </is>
      </c>
      <c r="G21" s="60" t="inlineStr">
        <is>
          <t>-</t>
        </is>
      </c>
      <c r="H21" s="39" t="n">
        <v>18000</v>
      </c>
      <c r="I21" s="60" t="inlineStr">
        <is>
          <t>J+2</t>
        </is>
      </c>
      <c r="J21" s="35" t="inlineStr">
        <is>
          <t>Envoyer note vocale WhatsApp personnalisée</t>
        </is>
      </c>
      <c r="K21" s="35" t="inlineStr">
        <is>
          <t>Priorité 🔥 Très Haute - Numéro : +212 6 14 28 25 13</t>
        </is>
      </c>
    </row>
    <row r="22" ht="26" customHeight="1">
      <c r="A22" s="59" t="inlineStr">
        <is>
          <t>À planifier</t>
        </is>
      </c>
      <c r="B22" s="17" t="inlineStr">
        <is>
          <t>Hadri Parfums</t>
        </is>
      </c>
      <c r="C22" s="28" t="inlineStr">
        <is>
          <t>Fondateur / E-commerce Mgr</t>
        </is>
      </c>
      <c r="D22" s="59" t="inlineStr">
        <is>
          <t>WhatsApp Direct</t>
        </is>
      </c>
      <c r="E22" s="28" t="inlineStr">
        <is>
          <t>En attente premier message</t>
        </is>
      </c>
      <c r="F22" s="40" t="inlineStr">
        <is>
          <t>1. Nouveau Lead</t>
        </is>
      </c>
      <c r="G22" s="59" t="inlineStr">
        <is>
          <t>-</t>
        </is>
      </c>
      <c r="H22" s="32" t="n">
        <v>18000</v>
      </c>
      <c r="I22" s="59" t="inlineStr">
        <is>
          <t>J+2</t>
        </is>
      </c>
      <c r="J22" s="28" t="inlineStr">
        <is>
          <t>Envoyer note vocale WhatsApp personnalisée</t>
        </is>
      </c>
      <c r="K22" s="28" t="inlineStr">
        <is>
          <t>Priorité Haute - Numéro : +212 6 29 85 29 03</t>
        </is>
      </c>
    </row>
    <row r="23" ht="26" customHeight="1">
      <c r="A23" s="60" t="inlineStr">
        <is>
          <t>À planifier</t>
        </is>
      </c>
      <c r="B23" s="10" t="inlineStr">
        <is>
          <t>Massinart</t>
        </is>
      </c>
      <c r="C23" s="35" t="inlineStr">
        <is>
          <t>Fondateur / E-commerce Mgr</t>
        </is>
      </c>
      <c r="D23" s="60" t="inlineStr">
        <is>
          <t>WhatsApp Direct</t>
        </is>
      </c>
      <c r="E23" s="35" t="inlineStr">
        <is>
          <t>En attente premier message</t>
        </is>
      </c>
      <c r="F23" s="34" t="inlineStr">
        <is>
          <t>1. Nouveau Lead</t>
        </is>
      </c>
      <c r="G23" s="60" t="inlineStr">
        <is>
          <t>-</t>
        </is>
      </c>
      <c r="H23" s="39" t="n">
        <v>18000</v>
      </c>
      <c r="I23" s="60" t="inlineStr">
        <is>
          <t>J+2</t>
        </is>
      </c>
      <c r="J23" s="35" t="inlineStr">
        <is>
          <t>Envoyer note vocale WhatsApp personnalisée</t>
        </is>
      </c>
      <c r="K23" s="35" t="inlineStr">
        <is>
          <t>Priorité 🔥 Très Haute - Numéro : +212 7 74 51 59 75</t>
        </is>
      </c>
    </row>
    <row r="24" ht="26" customHeight="1">
      <c r="A24" s="59" t="inlineStr">
        <is>
          <t>À planifier</t>
        </is>
      </c>
      <c r="B24" s="17" t="inlineStr">
        <is>
          <t>Lustra Maroc</t>
        </is>
      </c>
      <c r="C24" s="28" t="inlineStr">
        <is>
          <t>Fondateur / E-commerce Mgr</t>
        </is>
      </c>
      <c r="D24" s="59" t="inlineStr">
        <is>
          <t>WhatsApp Direct</t>
        </is>
      </c>
      <c r="E24" s="28" t="inlineStr">
        <is>
          <t>En attente premier message</t>
        </is>
      </c>
      <c r="F24" s="40" t="inlineStr">
        <is>
          <t>1. Nouveau Lead</t>
        </is>
      </c>
      <c r="G24" s="59" t="inlineStr">
        <is>
          <t>-</t>
        </is>
      </c>
      <c r="H24" s="32" t="n">
        <v>18000</v>
      </c>
      <c r="I24" s="59" t="inlineStr">
        <is>
          <t>J+2</t>
        </is>
      </c>
      <c r="J24" s="28" t="inlineStr">
        <is>
          <t>Envoyer note vocale WhatsApp personnalisée</t>
        </is>
      </c>
      <c r="K24" s="28" t="inlineStr">
        <is>
          <t>Priorité Haute - Numéro : +212 6 60 74 34 93</t>
        </is>
      </c>
    </row>
    <row r="25" ht="26" customHeight="1">
      <c r="A25" s="60" t="inlineStr">
        <is>
          <t>À planifier</t>
        </is>
      </c>
      <c r="B25" s="10" t="inlineStr">
        <is>
          <t>Sahareye</t>
        </is>
      </c>
      <c r="C25" s="35" t="inlineStr">
        <is>
          <t>Fondateur / E-commerce Mgr</t>
        </is>
      </c>
      <c r="D25" s="60" t="inlineStr">
        <is>
          <t>WhatsApp Direct</t>
        </is>
      </c>
      <c r="E25" s="35" t="inlineStr">
        <is>
          <t>En attente premier message</t>
        </is>
      </c>
      <c r="F25" s="34" t="inlineStr">
        <is>
          <t>1. Nouveau Lead</t>
        </is>
      </c>
      <c r="G25" s="60" t="inlineStr">
        <is>
          <t>-</t>
        </is>
      </c>
      <c r="H25" s="39" t="n">
        <v>18000</v>
      </c>
      <c r="I25" s="60" t="inlineStr">
        <is>
          <t>J+2</t>
        </is>
      </c>
      <c r="J25" s="35" t="inlineStr">
        <is>
          <t>Envoyer note vocale WhatsApp personnalisée</t>
        </is>
      </c>
      <c r="K25" s="35" t="inlineStr">
        <is>
          <t>Priorité 🔥 Très Haute - Numéro : +212 5 22 33 47 77</t>
        </is>
      </c>
    </row>
    <row r="26" ht="26" customHeight="1">
      <c r="A26" s="59" t="inlineStr">
        <is>
          <t>À planifier</t>
        </is>
      </c>
      <c r="B26" s="17" t="inlineStr">
        <is>
          <t>Ottavio Shoes</t>
        </is>
      </c>
      <c r="C26" s="28" t="inlineStr">
        <is>
          <t>Fondateur / E-commerce Mgr</t>
        </is>
      </c>
      <c r="D26" s="59" t="inlineStr">
        <is>
          <t>WhatsApp Direct</t>
        </is>
      </c>
      <c r="E26" s="28" t="inlineStr">
        <is>
          <t>En attente premier message</t>
        </is>
      </c>
      <c r="F26" s="40" t="inlineStr">
        <is>
          <t>1. Nouveau Lead</t>
        </is>
      </c>
      <c r="G26" s="59" t="inlineStr">
        <is>
          <t>-</t>
        </is>
      </c>
      <c r="H26" s="32" t="n">
        <v>18000</v>
      </c>
      <c r="I26" s="59" t="inlineStr">
        <is>
          <t>J+2</t>
        </is>
      </c>
      <c r="J26" s="28" t="inlineStr">
        <is>
          <t>Envoyer note vocale WhatsApp personnalisée</t>
        </is>
      </c>
      <c r="K26" s="28" t="inlineStr">
        <is>
          <t>Priorité 🔥 Très Haute - Numéro : +212 6 63 23 59 66</t>
        </is>
      </c>
    </row>
    <row r="27" ht="26" customHeight="1">
      <c r="A27" s="60" t="inlineStr">
        <is>
          <t>À planifier</t>
        </is>
      </c>
      <c r="B27" s="10" t="inlineStr">
        <is>
          <t>Arwa Fashion</t>
        </is>
      </c>
      <c r="C27" s="35" t="inlineStr">
        <is>
          <t>Fondateur / E-commerce Mgr</t>
        </is>
      </c>
      <c r="D27" s="60" t="inlineStr">
        <is>
          <t>WhatsApp Direct</t>
        </is>
      </c>
      <c r="E27" s="35" t="inlineStr">
        <is>
          <t>En attente premier message</t>
        </is>
      </c>
      <c r="F27" s="34" t="inlineStr">
        <is>
          <t>1. Nouveau Lead</t>
        </is>
      </c>
      <c r="G27" s="60" t="inlineStr">
        <is>
          <t>-</t>
        </is>
      </c>
      <c r="H27" s="39" t="n">
        <v>18000</v>
      </c>
      <c r="I27" s="60" t="inlineStr">
        <is>
          <t>J+2</t>
        </is>
      </c>
      <c r="J27" s="35" t="inlineStr">
        <is>
          <t>Envoyer note vocale WhatsApp personnalisée</t>
        </is>
      </c>
      <c r="K27" s="35" t="inlineStr">
        <is>
          <t>Priorité 🔥 Très Haute - Numéro : +212 7 08 70 17 01</t>
        </is>
      </c>
    </row>
    <row r="28" ht="26" customHeight="1">
      <c r="A28" s="59" t="inlineStr">
        <is>
          <t>À planifier</t>
        </is>
      </c>
      <c r="B28" s="17" t="inlineStr">
        <is>
          <t>Moan Studio</t>
        </is>
      </c>
      <c r="C28" s="28" t="inlineStr">
        <is>
          <t>Fondateur / E-commerce Mgr</t>
        </is>
      </c>
      <c r="D28" s="59" t="inlineStr">
        <is>
          <t>WhatsApp Direct</t>
        </is>
      </c>
      <c r="E28" s="28" t="inlineStr">
        <is>
          <t>En attente premier message</t>
        </is>
      </c>
      <c r="F28" s="40" t="inlineStr">
        <is>
          <t>1. Nouveau Lead</t>
        </is>
      </c>
      <c r="G28" s="59" t="inlineStr">
        <is>
          <t>-</t>
        </is>
      </c>
      <c r="H28" s="32" t="n">
        <v>18000</v>
      </c>
      <c r="I28" s="59" t="inlineStr">
        <is>
          <t>J+2</t>
        </is>
      </c>
      <c r="J28" s="28" t="inlineStr">
        <is>
          <t>Envoyer note vocale WhatsApp personnalisée</t>
        </is>
      </c>
      <c r="K28" s="28" t="inlineStr">
        <is>
          <t>Priorité Haute - Numéro : +212 6 66 93 56 01</t>
        </is>
      </c>
    </row>
    <row r="29" ht="26" customHeight="1">
      <c r="A29" s="60" t="inlineStr">
        <is>
          <t>À planifier</t>
        </is>
      </c>
      <c r="B29" s="10" t="inlineStr">
        <is>
          <t>Elite Store</t>
        </is>
      </c>
      <c r="C29" s="35" t="inlineStr">
        <is>
          <t>Fondateur / E-commerce Mgr</t>
        </is>
      </c>
      <c r="D29" s="60" t="inlineStr">
        <is>
          <t>WhatsApp Direct</t>
        </is>
      </c>
      <c r="E29" s="35" t="inlineStr">
        <is>
          <t>En attente premier message</t>
        </is>
      </c>
      <c r="F29" s="34" t="inlineStr">
        <is>
          <t>1. Nouveau Lead</t>
        </is>
      </c>
      <c r="G29" s="60" t="inlineStr">
        <is>
          <t>-</t>
        </is>
      </c>
      <c r="H29" s="39" t="n">
        <v>18000</v>
      </c>
      <c r="I29" s="60" t="inlineStr">
        <is>
          <t>J+2</t>
        </is>
      </c>
      <c r="J29" s="35" t="inlineStr">
        <is>
          <t>Envoyer note vocale WhatsApp personnalisée</t>
        </is>
      </c>
      <c r="K29" s="35" t="inlineStr">
        <is>
          <t>Priorité Haute - Numéro : +212 6 60 00 00 00</t>
        </is>
      </c>
    </row>
    <row r="30" ht="26" customHeight="1">
      <c r="A30" s="59" t="inlineStr">
        <is>
          <t>À planifier</t>
        </is>
      </c>
      <c r="B30" s="17" t="inlineStr">
        <is>
          <t>Timgharin</t>
        </is>
      </c>
      <c r="C30" s="28" t="inlineStr">
        <is>
          <t>Fondateur / E-commerce Mgr</t>
        </is>
      </c>
      <c r="D30" s="59" t="inlineStr">
        <is>
          <t>WhatsApp Direct</t>
        </is>
      </c>
      <c r="E30" s="28" t="inlineStr">
        <is>
          <t>En attente premier message</t>
        </is>
      </c>
      <c r="F30" s="40" t="inlineStr">
        <is>
          <t>1. Nouveau Lead</t>
        </is>
      </c>
      <c r="G30" s="59" t="inlineStr">
        <is>
          <t>-</t>
        </is>
      </c>
      <c r="H30" s="32" t="n">
        <v>18000</v>
      </c>
      <c r="I30" s="59" t="inlineStr">
        <is>
          <t>J+2</t>
        </is>
      </c>
      <c r="J30" s="28" t="inlineStr">
        <is>
          <t>Envoyer note vocale WhatsApp personnalisée</t>
        </is>
      </c>
      <c r="K30" s="28" t="inlineStr">
        <is>
          <t>Priorité Haute - Numéro : +212 6 64 13 62 50</t>
        </is>
      </c>
    </row>
    <row r="31" ht="26" customHeight="1">
      <c r="A31" s="60" t="inlineStr">
        <is>
          <t>À planifier</t>
        </is>
      </c>
      <c r="B31" s="10" t="inlineStr">
        <is>
          <t>ForYou Parfum</t>
        </is>
      </c>
      <c r="C31" s="35" t="inlineStr">
        <is>
          <t>Fondateur / E-commerce Mgr</t>
        </is>
      </c>
      <c r="D31" s="60" t="inlineStr">
        <is>
          <t>WhatsApp Direct</t>
        </is>
      </c>
      <c r="E31" s="35" t="inlineStr">
        <is>
          <t>En attente premier message</t>
        </is>
      </c>
      <c r="F31" s="34" t="inlineStr">
        <is>
          <t>1. Nouveau Lead</t>
        </is>
      </c>
      <c r="G31" s="60" t="inlineStr">
        <is>
          <t>-</t>
        </is>
      </c>
      <c r="H31" s="39" t="n">
        <v>18000</v>
      </c>
      <c r="I31" s="60" t="inlineStr">
        <is>
          <t>J+2</t>
        </is>
      </c>
      <c r="J31" s="35" t="inlineStr">
        <is>
          <t>Envoyer note vocale WhatsApp personnalisée</t>
        </is>
      </c>
      <c r="K31" s="35" t="inlineStr">
        <is>
          <t>Priorité 🔥 Très Haute - Numéro : +212 6 22 90 66 77</t>
        </is>
      </c>
    </row>
    <row r="32" ht="26" customHeight="1">
      <c r="A32" s="59" t="inlineStr">
        <is>
          <t>À planifier</t>
        </is>
      </c>
      <c r="B32" s="17" t="inlineStr">
        <is>
          <t>Binaa Smart Home</t>
        </is>
      </c>
      <c r="C32" s="28" t="inlineStr">
        <is>
          <t>Fondateur / E-commerce Mgr</t>
        </is>
      </c>
      <c r="D32" s="59" t="inlineStr">
        <is>
          <t>WhatsApp Direct</t>
        </is>
      </c>
      <c r="E32" s="28" t="inlineStr">
        <is>
          <t>En attente premier message</t>
        </is>
      </c>
      <c r="F32" s="40" t="inlineStr">
        <is>
          <t>1. Nouveau Lead</t>
        </is>
      </c>
      <c r="G32" s="59" t="inlineStr">
        <is>
          <t>-</t>
        </is>
      </c>
      <c r="H32" s="32" t="n">
        <v>18000</v>
      </c>
      <c r="I32" s="59" t="inlineStr">
        <is>
          <t>J+2</t>
        </is>
      </c>
      <c r="J32" s="28" t="inlineStr">
        <is>
          <t>Envoyer note vocale WhatsApp personnalisée</t>
        </is>
      </c>
      <c r="K32" s="28" t="inlineStr">
        <is>
          <t>Priorité Haute - Numéro : +212 6 61 58 78 16</t>
        </is>
      </c>
    </row>
    <row r="33" ht="26" customHeight="1">
      <c r="A33" s="60" t="inlineStr">
        <is>
          <t>À planifier</t>
        </is>
      </c>
      <c r="B33" s="10" t="inlineStr">
        <is>
          <t>Les Cafés Mirka</t>
        </is>
      </c>
      <c r="C33" s="35" t="inlineStr">
        <is>
          <t>Fondateur / E-commerce Mgr</t>
        </is>
      </c>
      <c r="D33" s="60" t="inlineStr">
        <is>
          <t>WhatsApp Direct</t>
        </is>
      </c>
      <c r="E33" s="35" t="inlineStr">
        <is>
          <t>En attente premier message</t>
        </is>
      </c>
      <c r="F33" s="34" t="inlineStr">
        <is>
          <t>1. Nouveau Lead</t>
        </is>
      </c>
      <c r="G33" s="60" t="inlineStr">
        <is>
          <t>-</t>
        </is>
      </c>
      <c r="H33" s="39" t="n">
        <v>18000</v>
      </c>
      <c r="I33" s="60" t="inlineStr">
        <is>
          <t>J+2</t>
        </is>
      </c>
      <c r="J33" s="35" t="inlineStr">
        <is>
          <t>Envoyer note vocale WhatsApp personnalisée</t>
        </is>
      </c>
      <c r="K33" s="35" t="inlineStr">
        <is>
          <t>Priorité Haute - Numéro : +212 6 63 60 23 29</t>
        </is>
      </c>
    </row>
    <row r="34" ht="26" customHeight="1">
      <c r="A34" s="59" t="inlineStr">
        <is>
          <t>À planifier</t>
        </is>
      </c>
      <c r="B34" s="17" t="inlineStr">
        <is>
          <t>Chabi Chic</t>
        </is>
      </c>
      <c r="C34" s="28" t="inlineStr">
        <is>
          <t>Fondateur / E-commerce Mgr</t>
        </is>
      </c>
      <c r="D34" s="59" t="inlineStr">
        <is>
          <t>WhatsApp Direct</t>
        </is>
      </c>
      <c r="E34" s="28" t="inlineStr">
        <is>
          <t>En attente premier message</t>
        </is>
      </c>
      <c r="F34" s="40" t="inlineStr">
        <is>
          <t>1. Nouveau Lead</t>
        </is>
      </c>
      <c r="G34" s="59" t="inlineStr">
        <is>
          <t>-</t>
        </is>
      </c>
      <c r="H34" s="32" t="n">
        <v>18000</v>
      </c>
      <c r="I34" s="59" t="inlineStr">
        <is>
          <t>J+2</t>
        </is>
      </c>
      <c r="J34" s="28" t="inlineStr">
        <is>
          <t>Envoyer note vocale WhatsApp personnalisée</t>
        </is>
      </c>
      <c r="K34" s="28" t="inlineStr">
        <is>
          <t>Priorité 🔥 Très Haute - Numéro : +212 6 10 10 47 54</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2026-10-26T14:58:43Z</dcterms:created>
  <dcterms:modified xmlns:dcterms="http://purl.org/dc/terms/" xmlns:xsi="http://www.w3.org/2001/XMLSchema-instance" xsi:type="dcterms:W3CDTF">2026-10-26T14:58:44Z</dcterms:modified>
</cp:coreProperties>
</file>